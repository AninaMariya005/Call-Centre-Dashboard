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hidePivotFieldList="1"/>
  <mc:AlternateContent xmlns:mc="http://schemas.openxmlformats.org/markup-compatibility/2006">
    <mc:Choice Requires="x15">
      <x15ac:absPath xmlns:x15ac="http://schemas.microsoft.com/office/spreadsheetml/2010/11/ac" url="C:\Users\HP\OneDrive\Desktop\anina\"/>
    </mc:Choice>
  </mc:AlternateContent>
  <xr:revisionPtr revIDLastSave="0" documentId="13_ncr:1_{FFBF6851-AD12-464A-B1F0-D4B90CF5FD55}" xr6:coauthVersionLast="47" xr6:coauthVersionMax="47" xr10:uidLastSave="{00000000-0000-0000-0000-000000000000}"/>
  <bookViews>
    <workbookView xWindow="-108" yWindow="-108" windowWidth="23256" windowHeight="12456" activeTab="1" xr2:uid="{26D4546B-D2A1-4444-8EAF-A6228F96F0C1}"/>
  </bookViews>
  <sheets>
    <sheet name="pivots" sheetId="6" r:id="rId1"/>
    <sheet name="call centre report" sheetId="5" r:id="rId2"/>
    <sheet name="Data" sheetId="2" r:id="rId3"/>
    <sheet name="Assets" sheetId="4" r:id="rId4"/>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8" r:id="rId8"/>
    <pivotCache cacheId="210" r:id="rId9"/>
    <pivotCache cacheId="213" r:id="rId10"/>
    <pivotCache cacheId="216" r:id="rId11"/>
    <pivotCache cacheId="219" r:id="rId12"/>
    <pivotCache cacheId="222"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60" i="6" l="1"/>
  <c r="S29" i="5" s="1"/>
  <c r="H58" i="6"/>
  <c r="H60" i="6" s="1"/>
  <c r="J62" i="6" s="1"/>
  <c r="S41" i="5" s="1"/>
  <c r="H57" i="6"/>
  <c r="H59" i="6" s="1"/>
  <c r="J61" i="6" s="1"/>
  <c r="S40" i="5" s="1"/>
  <c r="H56" i="6"/>
  <c r="J60" i="6" s="1"/>
  <c r="S39" i="5" s="1"/>
  <c r="W24" i="5" a="1"/>
  <c r="W24" i="5" s="1"/>
  <c r="V25" i="5" a="1"/>
  <c r="V25" i="5" s="1"/>
  <c r="G29" i="6"/>
  <c r="J33"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36" i="6" l="1"/>
  <c r="I35" i="6"/>
  <c r="I32" i="6"/>
  <c r="I34" i="6"/>
  <c r="I33" i="6"/>
  <c r="J32" i="6"/>
  <c r="J36" i="6"/>
  <c r="J35" i="6"/>
  <c r="J3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463293-FC71-4F5D-9844-77546CF015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3E8420D-76B2-4048-A530-FC16E6CE9581}"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AD3DD4B6-FDF2-4CE3-83FD-C4F9A694D882}"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<sst xmlns="http://schemas.openxmlformats.org/spreadsheetml/2006/main" count="3176" uniqueCount="1083">
  <si>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</si>
  <si>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</si>
  <si>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</si>
  <si>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</si>
  <si>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</si>
  <si>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</si>
  <si>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</si>
  <si>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</si>
  <si>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</si>
  <si>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</si>
  <si>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</si>
  <si>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</si>
  <si>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</si>
  <si>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</si>
  <si>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</si>
  <si>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</si>
  <si>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</si>
  <si>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</si>
  <si>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</si>
  <si>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</si>
  <si>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</si>
  <si>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</si>
  <si>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</si>
  <si>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</si>
  <si>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</si>
  <si>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</si>
  <si>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</si>
  <si>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</si>
  <si>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</si>
  <si>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</si>
  <si>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</si>
  <si>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</si>
  <si>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</si>
  <si>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</si>
  <si>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</si>
  <si>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</si>
  <si>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</si>
  <si>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</si>
  <si>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</si>
  <si>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</si>
  <si>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</si>
  <si>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</si>
  <si>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</si>
  <si>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</si>
  <si>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</si>
  <si>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</si>
  <si>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</si>
  <si>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</si>
  <si>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</si>
  <si>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</si>
  <si>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</si>
  <si>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</si>
  <si>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</si>
  <si>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</si>
  <si>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</si>
  <si>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</si>
  <si>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</si>
  <si>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</si>
  <si>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</si>
  <si>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</si>
  <si>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</si>
  <si>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</si>
  <si>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</si>
  <si>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</si>
  <si>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</si>
  <si>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</si>
  <si>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</si>
  <si>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</si>
  <si>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</si>
  <si>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</si>
  <si>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</si>
  <si>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</si>
  <si>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</si>
  <si>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</si>
  <si>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</si>
  <si>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</si>
  <si>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</si>
  <si>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</si>
  <si>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</si>
  <si>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</si>
  <si>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</si>
  <si>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</si>
  <si>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</si>
  <si>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</si>
  <si>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</si>
  <si>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</si>
  <si>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</si>
  <si>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</si>
  <si>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</si>
  <si>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</si>
  <si>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</si>
  <si>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</si>
  <si>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</si>
  <si>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</si>
  <si>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</si>
  <si>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</si>
  <si>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</si>
  <si>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</si>
  <si>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</si>
  <si>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</si>
  <si>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</si>
  <si>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</si>
  <si>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</si>
  <si>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</si>
  <si>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</si>
  <si>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</si>
  <si>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</si>
  <si>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</si>
  <si>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</si>
  <si>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</si>
  <si>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</si>
  <si>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</si>
  <si>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</si>
  <si>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</si>
  <si>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</si>
  <si>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</si>
  <si>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</si>
  <si>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</si>
  <si>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</si>
  <si>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</si>
  <si>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</si>
  <si>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</si>
  <si>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</si>
  <si>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</si>
  <si>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</si>
  <si>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</si>
  <si>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</si>
  <si>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</si>
  <si>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</si>
  <si>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</si>
  <si>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</si>
  <si>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</si>
  <si>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</si>
  <si>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</si>
  <si>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</si>
  <si>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</si>
  <si>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</si>
  <si>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</si>
  <si>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</si>
  <si>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</si>
  <si>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</si>
  <si>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</si>
  <si>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</si>
  <si>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</si>
  <si>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</si>
  <si>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</si>
  <si>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</si>
  <si>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</si>
  <si>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</si>
  <si>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</si>
  <si>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</si>
  <si>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</si>
  <si>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</si>
  <si>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</si>
  <si>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</si>
  <si>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</si>
  <si>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</si>
  <si>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</si>
  <si>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</si>
  <si>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</si>
  <si>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</si>
  <si>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</si>
  <si>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</si>
  <si>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</si>
  <si>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</si>
  <si>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</si>
  <si>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</si>
  <si>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</si>
  <si>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</si>
  <si>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</si>
  <si>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</si>
  <si>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</si>
  <si>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</si>
  <si>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</si>
  <si>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</si>
  <si>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</si>
  <si>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</si>
  <si>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</si>
  <si>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</si>
  <si>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</si>
  <si>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</si>
  <si>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</si>
  <si>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</si>
  <si>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</si>
  <si>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</si>
  <si>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</si>
  <si>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</si>
  <si>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</si>
  <si>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</si>
  <si>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</si>
  <si>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</si>
  <si>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</si>
  <si>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</si>
  <si>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</si>
  <si>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</si>
  <si>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</si>
  <si>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</si>
  <si>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</si>
  <si>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</si>
  <si>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</si>
  <si>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</si>
  <si>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</si>
  <si>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</si>
  <si>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</si>
  <si>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</si>
  <si>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</si>
  <si>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</si>
  <si>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</si>
  <si>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</si>
  <si>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</si>
  <si>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</si>
  <si>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</si>
  <si>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</si>
  <si>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</si>
  <si>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</si>
  <si>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</si>
  <si>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</si>
  <si>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</si>
  <si>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</si>
  <si>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</si>
  <si>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</si>
  <si>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</si>
  <si>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</si>
  <si>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</si>
  <si>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</si>
  <si>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</si>
  <si>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</si>
  <si>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</si>
  <si>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</si>
  <si>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</si>
  <si>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</si>
  <si>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</si>
  <si>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</si>
  <si>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</si>
  <si>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</si>
  <si>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</si>
  <si>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</si>
  <si>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</si>
  <si>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</si>
  <si>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</si>
  <si>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</si>
  <si>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</si>
  <si>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</si>
  <si>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</si>
  <si>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</si>
  <si>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</si>
  <si>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</si>
  <si>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</si>
  <si>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</si>
  <si>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</si>
  <si>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</si>
  <si>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</si>
  <si>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</si>
  <si>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</si>
  <si>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</si>
  <si>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</si>
  <si>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</si>
  <si>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</si>
  <si>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</si>
  <si>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</si>
  <si>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</si>
  <si>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</si>
  <si>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</si>
  <si>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</si>
  <si>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</si>
  <si>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</si>
  <si>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</si>
  <si>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</si>
  <si>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</si>
  <si>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</si>
  <si>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</si>
  <si>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</si>
  <si>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</si>
  <si>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</si>
  <si>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</si>
  <si>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</si>
  <si>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</si>
  <si>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</si>
  <si>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</si>
  <si>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</si>
  <si>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</si>
  <si>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</si>
  <si>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</si>
  <si>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</si>
  <si>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</si>
  <si>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</si>
  <si>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</si>
  <si>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</si>
  <si>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</si>
  <si>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</si>
  <si>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</si>
  <si>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</si>
  <si>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</si>
  <si>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</si>
  <si>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</si>
  <si>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</si>
  <si>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</si>
  <si>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</si>
  <si>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</si>
  <si>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</si>
  <si>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</si>
  <si>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</si>
  <si>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</si>
  <si>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</si>
  <si>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</si>
  <si>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</si>
  <si>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</si>
  <si>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</si>
  <si>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</si>
  <si>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</si>
  <si>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</si>
  <si>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</si>
  <si>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</si>
  <si>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</si>
  <si>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</si>
  <si>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</si>
  <si>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</si>
  <si>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</si>
  <si>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</si>
  <si>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</si>
  <si>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</si>
  <si>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</si>
  <si>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</si>
  <si>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</si>
  <si>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</si>
  <si>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</si>
  <si>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</si>
  <si>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</si>
  <si>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</si>
  <si>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</si>
  <si>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</si>
  <si>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</si>
  <si>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</si>
  <si>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</si>
  <si>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</si>
  <si>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</si>
  <si>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</si>
  <si>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</si>
  <si>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</si>
  <si>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</si>
  <si>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</si>
  <si>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</si>
  <si>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</si>
  <si>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</si>
  <si>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</si>
  <si>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</si>
  <si>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</si>
  <si>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</si>
  <si>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</si>
  <si>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</si>
  <si>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</si>
  <si>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</si>
  <si>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</si>
  <si>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</si>
  <si>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</si>
  <si>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</si>
  <si>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</si>
  <si>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</si>
  <si>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</si>
  <si>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</si>
  <si>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</si>
  <si>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</si>
  <si>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</si>
  <si>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</si>
  <si>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</si>
  <si>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</si>
  <si>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</si>
  <si>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</si>
  <si>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</si>
  <si>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</si>
  <si>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</si>
  <si>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</si>
  <si>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</si>
  <si>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</si>
  <si>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</si>
  <si>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</si>
  <si>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</si>
  <si>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</si>
  <si>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</si>
  <si>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</si>
  <si>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</si>
  <si>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</si>
  <si>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</si>
  <si>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</si>
  <si>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</si>
  <si>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</si>
  <si>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</si>
  <si>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</si>
  <si>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</si>
  <si>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</si>
  <si>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</si>
  <si>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</si>
  <si>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</si>
  <si>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</si>
  <si>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</si>
  <si>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</si>
  <si>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</si>
  <si>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</si>
  <si>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</si>
  <si>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</si>
  <si>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</si>
  <si>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</si>
  <si>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</si>
  <si>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</si>
  <si>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</si>
  <si>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</si>
  <si>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</si>
  <si>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</si>
  <si>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</si>
  <si>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</si>
  <si>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</si>
  <si>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</si>
  <si>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</si>
  <si>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</si>
  <si>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</si>
  <si>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</si>
  <si>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</si>
  <si>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</si>
  <si>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</si>
  <si>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</si>
  <si>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</si>
  <si>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</si>
  <si>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</si>
  <si>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</si>
  <si>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</si>
  <si>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</si>
  <si>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</si>
  <si>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</si>
  <si>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</si>
  <si>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</si>
  <si>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</si>
  <si>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</si>
  <si>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</si>
  <si>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</si>
  <si>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</si>
  <si>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</si>
  <si>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</si>
  <si>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</si>
  <si>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</si>
  <si>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</si>
  <si>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</si>
  <si>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</si>
  <si>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</si>
  <si>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</si>
  <si>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</si>
  <si>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</si>
  <si>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</si>
  <si>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</si>
  <si>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</si>
  <si>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</si>
  <si>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</si>
  <si>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</si>
  <si>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</si>
  <si>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</si>
  <si>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</si>
  <si>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</si>
  <si>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</si>
  <si>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</si>
  <si>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</si>
  <si>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</si>
  <si>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</si>
  <si>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</si>
  <si>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</si>
  <si>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</si>
  <si>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</si>
  <si>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</si>
  <si>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</si>
  <si>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</si>
  <si>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</si>
  <si>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</si>
  <si>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</si>
  <si>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</si>
  <si>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</si>
  <si>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</si>
  <si>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</si>
  <si>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</si>
  <si>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</si>
  <si>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</si>
  <si>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</si>
  <si>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</si>
  <si>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</si>
  <si>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</si>
  <si>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</si>
  <si>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</si>
  <si>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</si>
  <si>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</si>
  <si>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</si>
  <si>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</si>
  <si>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</si>
  <si>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</si>
  <si>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</si>
  <si>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</si>
  <si>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</si>
  <si>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</si>
  <si>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</si>
  <si>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</si>
  <si>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</si>
  <si>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</si>
  <si>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</si>
  <si>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</si>
  <si>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</si>
  <si>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</si>
  <si>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</si>
  <si>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</si>
  <si>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</si>
  <si>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</si>
  <si>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</si>
  <si>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</si>
  <si>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</si>
  <si>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</si>
  <si>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</si>
  <si>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</si>
  <si>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</si>
  <si>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</si>
  <si>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</si>
  <si>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</si>
  <si>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</si>
  <si>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</si>
  <si>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</si>
  <si>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</si>
  <si>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</si>
  <si>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</si>
  <si>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</si>
  <si>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</si>
  <si>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</si>
  <si>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</si>
  <si>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</si>
  <si>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</si>
  <si>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</si>
  <si>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</si>
  <si>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</si>
  <si>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</si>
  <si>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</si>
  <si>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</si>
  <si>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</si>
  <si>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</si>
  <si>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</si>
  <si>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</si>
  <si>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</si>
  <si>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</si>
  <si>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</si>
  <si>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</si>
  <si>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</si>
  <si>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</si>
  <si>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</si>
  <si>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</si>
  <si>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</si>
  <si>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</si>
  <si>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</si>
  <si>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</si>
  <si>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</si>
  <si>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</si>
  <si>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</si>
  <si>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</si>
  <si>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</si>
  <si>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</si>
  <si>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</si>
  <si>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</si>
  <si>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</si>
  <si>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</si>
  <si>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</si>
  <si>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</si>
  <si>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</si>
  <si>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</si>
  <si>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</si>
  <si>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</si>
  <si>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</si>
  <si>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</si>
  <si>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</si>
  <si>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</si>
  <si>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</si>
  <si>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</si>
  <si>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</si>
  <si>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</si>
  <si>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</si>
  <si>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</si>
  <si>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</si>
  <si>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</si>
  <si>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</si>
  <si>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</si>
  <si>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</si>
  <si>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</si>
  <si>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</si>
  <si>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</si>
  <si>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</si>
  <si>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</si>
  <si>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</si>
  <si>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</si>
  <si>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</si>
  <si>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</si>
  <si>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</si>
  <si>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</si>
  <si>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</si>
  <si>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</si>
  <si>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</si>
  <si>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</si>
  <si>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</si>
  <si>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</si>
  <si>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</si>
  <si>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</si>
  <si>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</si>
  <si>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</si>
  <si>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</si>
  <si>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</si>
  <si>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</si>
  <si>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</si>
  <si>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</si>
  <si>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</si>
  <si>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</si>
  <si>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</si>
  <si>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</si>
  <si>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</si>
  <si>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</si>
  <si>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</si>
  <si>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</si>
  <si>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</si>
  <si>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</si>
  <si>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</si>
  <si>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</si>
  <si>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</si>
  <si>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</si>
  <si>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</si>
  <si>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</si>
  <si>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</si>
  <si>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</si>
  <si>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</si>
  <si>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</si>
  <si>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</si>
  <si>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</si>
  <si>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</si>
  <si>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</si>
  <si>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</si>
  <si>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</si>
  <si>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</si>
  <si>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</si>
  <si>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</si>
  <si>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</si>
  <si>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</si>
  <si>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</si>
  <si>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</si>
  <si>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</si>
  <si>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</si>
  <si>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</si>
  <si>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</si>
  <si>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</si>
  <si>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</si>
  <si>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</si>
  <si>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</si>
  <si>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</si>
  <si>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</si>
  <si>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</si>
  <si>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</si>
  <si>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</si>
  <si>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</si>
  <si>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</si>
  <si>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</si>
  <si>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</si>
  <si>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</si>
  <si>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</si>
  <si>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</si>
  <si>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</si>
  <si>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</si>
  <si>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</si>
  <si>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</si>
  <si>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</si>
  <si>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</si>
  <si>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</si>
  <si>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</si>
  <si>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</si>
  <si>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</si>
  <si>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</si>
  <si>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</si>
  <si>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</si>
  <si>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</si>
  <si>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</si>
  <si>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</si>
  <si>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</si>
  <si>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</si>
  <si>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</si>
  <si>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</si>
  <si>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</si>
  <si>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</si>
  <si>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</si>
  <si>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</si>
  <si>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</si>
  <si>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</si>
  <si>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</si>
  <si>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</si>
  <si>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</si>
  <si>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</si>
  <si>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</si>
  <si>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</si>
  <si>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</si>
  <si>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</si>
  <si>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</si>
  <si>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</si>
  <si>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</si>
  <si>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</si>
  <si>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</si>
  <si>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</si>
  <si>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</si>
  <si>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</si>
  <si>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</si>
  <si>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</si>
  <si>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</si>
  <si>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</si>
  <si>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</si>
  <si>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</si>
  <si>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</si>
  <si>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</si>
  <si>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</si>
  <si>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</si>
  <si>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</si>
  <si>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</si>
  <si>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</si>
  <si>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</si>
  <si>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</si>
  <si>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</si>
  <si>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</si>
  <si>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</si>
  <si>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</si>
  <si>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</si>
  <si>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</si>
  <si>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</si>
  <si>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</si>
  <si>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</si>
  <si>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</si>
  <si>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</si>
  <si>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</si>
  <si>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</si>
  <si>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</si>
  <si>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</si>
  <si>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</si>
  <si>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</si>
  <si>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</si>
  <si>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</si>
  <si>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</si>
  <si>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</si>
  <si>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</si>
  <si>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</si>
  <si>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</si>
  <si>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</si>
  <si>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</si>
  <si>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</si>
  <si>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</si>
  <si>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</si>
  <si>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</si>
  <si>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</si>
  <si>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</si>
  <si>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</si>
  <si>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</si>
  <si>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</si>
  <si>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</si>
  <si>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</si>
  <si>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</si>
  <si>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</si>
  <si>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</si>
  <si>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</si>
  <si>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</si>
  <si>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</si>
  <si>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</si>
  <si>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</si>
  <si>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</si>
  <si>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</si>
  <si>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</si>
  <si>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</si>
  <si>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</si>
  <si>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</si>
  <si>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</si>
  <si>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</si>
  <si>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</si>
  <si>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</si>
  <si>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</si>
  <si>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</si>
  <si>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</si>
  <si>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</si>
  <si>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</si>
  <si>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</si>
  <si>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</si>
  <si>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</si>
  <si>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</si>
  <si>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</si>
  <si>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</si>
  <si>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</si>
  <si>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</si>
  <si>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</si>
  <si>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</si>
  <si>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</si>
  <si>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</si>
  <si>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</si>
  <si>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</si>
  <si>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</si>
  <si>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</si>
  <si>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</si>
  <si>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</si>
  <si>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</si>
  <si>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</si>
  <si>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</si>
  <si>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</si>
  <si>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</si>
  <si>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</si>
  <si>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</si>
  <si>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</si>
  <si>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</si>
  <si>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</si>
  <si>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</si>
  <si>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</si>
  <si>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</si>
  <si>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</si>
  <si>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</si>
  <si>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</si>
  <si>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</si>
  <si>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</si>
  <si>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</si>
  <si>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</si>
  <si>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</si>
  <si>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</si>
  <si>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</si>
  <si>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</si>
  <si>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</si>
  <si>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</si>
  <si>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</si>
  <si>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</si>
  <si>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</si>
  <si>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</si>
  <si>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</si>
  <si>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</si>
  <si>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</si>
  <si>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</si>
  <si>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</si>
  <si>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</si>
  <si>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</si>
  <si>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</si>
  <si>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</si>
  <si>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</si>
  <si>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</si>
  <si>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</si>
  <si>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</si>
  <si>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</si>
  <si>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</si>
  <si>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</si>
  <si>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</si>
  <si>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</si>
  <si>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</si>
  <si>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</si>
  <si>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</si>
  <si>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</si>
  <si>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</si>
  <si>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</si>
  <si>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</si>
  <si>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</si>
  <si>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</si>
  <si>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</si>
  <si>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</si>
  <si>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</si>
  <si>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</si>
  <si>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</si>
  <si>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</si>
  <si>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</si>
  <si>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</si>
  <si>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</si>
  <si>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</si>
  <si>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</si>
  <si>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</si>
  <si>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</si>
  <si>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</si>
  <si>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</si>
  <si>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</si>
  <si>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</si>
  <si>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</si>
  <si>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</si>
  <si>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</si>
  <si>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</si>
  <si>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</si>
  <si>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</si>
  <si>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</si>
  <si>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</si>
  <si>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</si>
  <si>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</si>
  <si>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</si>
  <si>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</si>
  <si>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</si>
  <si>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</si>
  <si>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</si>
  <si>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</si>
  <si>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</si>
  <si>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</si>
  <si>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</si>
  <si>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</si>
  <si>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</si>
  <si>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</si>
  <si>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</si>
  <si>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</si>
  <si>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</si>
  <si>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</si>
  <si>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</si>
  <si>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</si>
  <si>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</si>
  <si>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</si>
  <si>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</si>
  <si>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</si>
  <si>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</si>
  <si>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</si>
  <si>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</si>
  <si>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</si>
  <si>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</si>
  <si>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</si>
  <si>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</si>
  <si>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</si>
  <si>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</si>
  <si>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</si>
  <si>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</si>
  <si>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</si>
  <si>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</si>
  <si>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</si>
  <si>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</si>
  <si>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</si>
  <si>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</si>
  <si>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</si>
  <si>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</si>
  <si>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</si>
  <si>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</si>
  <si>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</si>
  <si>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</si>
  <si>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</si>
  <si>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</si>
  <si>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</si>
  <si>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</si>
  <si>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</si>
  <si>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</si>
  <si>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</si>
  <si>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</si>
  <si>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</si>
  <si>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</si>
  <si>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</si>
  <si>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</si>
  <si>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</si>
  <si>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</si>
  <si>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</si>
  <si>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</si>
  <si>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</si>
  <si>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</si>
  <si>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</si>
  <si>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</si>
  <si>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</si>
  <si>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</si>
  <si>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</si>
  <si>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</si>
  <si>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</si>
  <si>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</si>
  <si>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</si>
  <si>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</si>
  <si>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</si>
  <si>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</si>
  <si>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</si>
  <si>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</si>
  <si>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</si>
  <si>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</si>
  <si>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</si>
  <si>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</si>
  <si>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</si>
  <si>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</si>
  <si>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</si>
  <si>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</si>
  <si>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</si>
  <si>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</si>
  <si>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</si>
  <si>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</si>
  <si>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</si>
  <si>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</si>
  <si>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</si>
  <si>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</si>
  <si>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</si>
  <si>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</si>
  <si>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</si>
  <si>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</si>
  <si>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</si>
  <si>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</si>
  <si>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</si>
  <si>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</si>
  <si>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</si>
  <si>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</si>
  <si>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</si>
  <si>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</si>
  <si>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</si>
  <si>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</si>
  <si>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</si>
  <si>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</si>
  <si>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</si>
  <si>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</si>
  <si>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</si>
  <si>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</si>
  <si>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</si>
  <si>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</si>
  <si>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</si>
  <si>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</si>
  <si>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</si>
  <si>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</si>
  <si>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</si>
  <si>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</si>
  <si>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</si>
  <si>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</si>
  <si>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</si>
  <si>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</si>
  <si>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</si>
  <si>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</si>
  <si>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</si>
  <si>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</si>
  <si>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</si>
  <si>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</si>
  <si>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</si>
  <si>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</si>
  <si>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</si>
  <si>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</si>
  <si>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</si>
  <si>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</si>
  <si>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</si>
  <si>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</si>
  <si>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</si>
  <si>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</si>
  <si>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</si>
  <si>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</si>
  <si>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</si>
  <si>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</si>
  <si>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</si>
  <si>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</si>
  <si>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</si>
  <si>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</si>
  <si>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</si>
  <si>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</si>
  <si>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</si>
  <si>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</si>
  <si>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</si>
  <si>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</si>
  <si>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</si>
  <si>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</si>
  <si>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</si>
  <si>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</si>
  <si>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</si>
  <si>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</si>
  <si>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</si>
  <si>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</si>
  <si>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</si>
  <si>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amount</t>
  </si>
  <si>
    <t>total duration</t>
  </si>
  <si>
    <t>Avg 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</si>
  <si>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</si>
  <si>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</si>
  <si>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</si>
  <si>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</si>
  <si>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</si>
  <si>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</si>
  <si>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</si>
  <si>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</si>
  <si>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</si>
  <si>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</si>
  <si>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</si>
  <si>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</si>
  <si>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</si>
  <si>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</si>
  <si>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</si>
  <si>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</si>
  <si>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</si>
  <si>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</si>
  <si>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</si>
  <si>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</si>
  <si>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</si>
  <si>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</si>
  <si>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</si>
  <si>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</si>
  <si>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</si>
  <si>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sel. Calls</t>
  </si>
  <si>
    <t>sel amount</t>
  </si>
  <si>
    <t>selected rep</t>
  </si>
  <si>
    <t>Column Labels</t>
  </si>
  <si>
    <t>TOTAL</t>
  </si>
  <si>
    <t>Rep summary</t>
  </si>
  <si>
    <t>% of calls</t>
  </si>
  <si>
    <t>call rank</t>
  </si>
  <si>
    <t>amount rank</t>
  </si>
  <si>
    <t>labels:</t>
  </si>
  <si>
    <t>image</t>
  </si>
  <si>
    <t>CALL CENTRE REPORT DATA-2023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</si>
</sst>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 #,##0.00_ ;_ * \-#,##0.00_ ;_ * &quot;-&quot;??_ ;_ @_ "/>
    <numFmt numFmtId="164" formatCode="[$-409]d\-mmm\-yy;@"/>
    <numFmt numFmtId="165" formatCode="&quot;₹&quot;\ #,##0;#,##0\ \-&quot;₹&quot;;&quot;₹&quot;\ #,##0"/>
    <numFmt numFmtId="166" formatCode="0.0"/>
    <numFmt numFmtId="167" formatCode="&quot;₹&quot;\ #,##0;#,##0\ \-&quot;₹&quot;;&quot;₹&quot;\ #,##0"/>
    <numFmt numFmtId="168" formatCode="&quot;₹&quot;\ #,##0"/>
    <numFmt numFmtId="172" formatCode="_ * #,##0_ ;_ * \-#,##0_ ;_ * &quot;-&quot;??_ ;_ @_ "/>
    <numFmt numFmtId="176" formatCode="_ [$₹-4009]\ * #,##0_ ;_ [$₹-4009]\ * \-#,##0_ ;_ [$₹-4009]\ * &quot;-&quot;??_ ;_ @_ "/>
  </numFmts>
  <fonts count="8"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sz val="11"/>
      <color theme="2" tint="-0.499984740745262"/>
      <name val="Aptos"/>
      <family val="2"/>
      <scheme val="minor"/>
    </font>
    <font>
      <b/>
      <sz val="28"/>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5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 fontId="0" fillId="0" borderId="0" xfId="0" applyNumberFormat="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4" borderId="0" xfId="0" applyFill="1" applyAlignment="1">
      <alignment horizontal="left"/>
    </xf>
    <xf numFmtId="0" fontId="0" fillId="0" borderId="0" xfId="0" applyNumberFormat="1"/>
    <xf numFmtId="0" fontId="0" fillId="0" borderId="0" xfId="0" applyAlignment="1">
      <alignment horizontal="left" indent="1"/>
    </xf>
    <xf numFmtId="167" fontId="0" fillId="0" borderId="0" xfId="0" applyNumberFormat="1"/>
    <xf numFmtId="0" fontId="0" fillId="3" borderId="0" xfId="0" applyFill="1" applyAlignment="1">
      <alignment horizontal="left" indent="1"/>
    </xf>
    <xf numFmtId="0" fontId="0" fillId="5" borderId="10" xfId="0" applyFill="1" applyBorder="1"/>
    <xf numFmtId="0" fontId="0" fillId="5" borderId="11" xfId="0" applyFill="1" applyBorder="1"/>
    <xf numFmtId="0" fontId="0" fillId="5" borderId="12" xfId="0" applyFill="1" applyBorder="1"/>
    <xf numFmtId="0" fontId="0" fillId="5" borderId="13" xfId="0" applyFill="1" applyBorder="1"/>
    <xf numFmtId="0" fontId="0" fillId="5" borderId="14" xfId="0" applyFill="1" applyBorder="1"/>
    <xf numFmtId="0" fontId="0" fillId="5" borderId="0" xfId="0" applyFill="1" applyBorder="1"/>
    <xf numFmtId="0" fontId="0" fillId="5" borderId="13" xfId="0" applyFill="1" applyBorder="1" applyAlignment="1">
      <alignment horizontal="left" indent="1"/>
    </xf>
    <xf numFmtId="168" fontId="5" fillId="5" borderId="0" xfId="0" applyNumberFormat="1" applyFont="1" applyFill="1" applyBorder="1"/>
    <xf numFmtId="168" fontId="5" fillId="5" borderId="14" xfId="0" applyNumberFormat="1" applyFont="1" applyFill="1" applyBorder="1"/>
    <xf numFmtId="0" fontId="0" fillId="5" borderId="15" xfId="0" applyFill="1" applyBorder="1" applyAlignment="1">
      <alignment horizontal="left" indent="1"/>
    </xf>
    <xf numFmtId="168" fontId="5" fillId="5" borderId="16" xfId="0" applyNumberFormat="1" applyFont="1" applyFill="1" applyBorder="1"/>
    <xf numFmtId="168" fontId="5" fillId="5" borderId="17" xfId="0" applyNumberFormat="1" applyFont="1" applyFill="1" applyBorder="1"/>
    <xf numFmtId="0" fontId="1" fillId="5" borderId="0" xfId="0" applyFont="1" applyFill="1" applyBorder="1" applyAlignment="1">
      <alignment horizontal="left"/>
    </xf>
    <xf numFmtId="0" fontId="1" fillId="5" borderId="14" xfId="0" applyFont="1" applyFill="1" applyBorder="1"/>
    <xf numFmtId="0" fontId="1" fillId="5" borderId="13" xfId="0" applyFont="1" applyFill="1" applyBorder="1"/>
    <xf numFmtId="9" fontId="0" fillId="0" borderId="0" xfId="2" applyFont="1"/>
    <xf numFmtId="172" fontId="0" fillId="0" borderId="0" xfId="1" applyNumberFormat="1" applyFont="1"/>
    <xf numFmtId="176" fontId="0" fillId="0" borderId="0" xfId="2" applyNumberFormat="1" applyFont="1"/>
    <xf numFmtId="0" fontId="0" fillId="3" borderId="0" xfId="0" applyFill="1" applyAlignment="1">
      <alignment horizontal="center"/>
    </xf>
    <xf numFmtId="0" fontId="6" fillId="3" borderId="0" xfId="0" applyFont="1" applyFill="1" applyAlignment="1">
      <alignment horizontal="center"/>
    </xf>
    <xf numFmtId="0" fontId="7" fillId="3" borderId="0" xfId="0" applyFont="1" applyFill="1"/>
  </cellXfs>
  <cellStyles count="3">
    <cellStyle name="Comma" xfId="1" builtinId="3"/>
    <cellStyle name="Normal" xfId="0" builtinId="0"/>
    <cellStyle name="Percent" xfId="2" builtinId="5"/>
  </cellStyles>
  <dxfs count="30">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bgColor theme="8" tint="0.39994506668294322"/>
        </patternFill>
      </fill>
      <border>
        <left style="thin">
          <color auto="1"/>
        </left>
        <right style="thin">
          <color auto="1"/>
        </right>
        <vertical/>
        <horizontal/>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4" tint="0.39997558519241921"/>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9"/>
    </tableStyle>
    <tableStyle name="SlicerStyleDark1 2" pivot="0" table="0" count="10" xr9:uid="{0F6082E5-EEE9-4BAF-BFDA-331A90104D4C}">
      <tableStyleElement type="wholeTable" dxfId="28"/>
      <tableStyleElement type="headerRow" dxfId="2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[07.sample-data-excel-portfolio-project.xlsx]pivots!weekly trend</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797462672190745"/>
          <c:y val="6.4011843271069999E-2"/>
          <c:w val="0.59044122146005995"/>
          <c:h val="0.84400191387490908"/>
        </c:manualLayout>
      </c:layout>
      <c:barChart>
        <c:barDir val="bar"/>
        <c:grouping val="clustered"/>
        <c:varyColors val="0"/>
        <c:ser>
          <c:idx val="0"/>
          <c:order val="0"/>
          <c:tx>
            <c:strRef>
              <c:f>pivots!$G$14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pivots!$F$15:$F$22</c:f>
              <c:strCache>
                <c:ptCount val="7"/>
                <c:pt idx="0">
                  <c:v>Sunday</c:v>
                </c:pt>
                <c:pt idx="1">
                  <c:v>Monday</c:v>
                </c:pt>
                <c:pt idx="2">
                  <c:v>Tuesday</c:v>
                </c:pt>
                <c:pt idx="3">
                  <c:v>Wednesday</c:v>
                </c:pt>
                <c:pt idx="4">
                  <c:v>Thursday</c:v>
                </c:pt>
                <c:pt idx="5">
                  <c:v>Friday</c:v>
                </c:pt>
                <c:pt idx="6">
                  <c:v>Saturday</c:v>
                </c:pt>
              </c:strCache>
            </c:strRef>
          </c:cat>
          <c:val>
            <c:numRef>
              <c:f>pivots!$G$15:$G$22</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002B-4CC0-8F1A-3207F4463438}"/>
            </c:ext>
          </c:extLst>
        </c:ser>
        <c:dLbls>
          <c:showLegendKey val="0"/>
          <c:showVal val="0"/>
          <c:showCatName val="0"/>
          <c:showSerName val="0"/>
          <c:showPercent val="0"/>
          <c:showBubbleSize val="0"/>
        </c:dLbls>
        <c:gapWidth val="25"/>
        <c:axId val="1047433023"/>
        <c:axId val="1047419103"/>
      </c:barChart>
      <c:catAx>
        <c:axId val="10474330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047419103"/>
        <c:crosses val="autoZero"/>
        <c:auto val="1"/>
        <c:lblAlgn val="ctr"/>
        <c:lblOffset val="100"/>
        <c:noMultiLvlLbl val="0"/>
      </c:catAx>
      <c:valAx>
        <c:axId val="104741910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433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1">
                    <a:lumMod val="75000"/>
                  </a:schemeClr>
                </a:solidFill>
                <a:latin typeface="+mj-lt"/>
              </a:rPr>
              <a:t>Call</a:t>
            </a:r>
            <a:r>
              <a:rPr lang="en-IN" sz="1800" b="1" baseline="0">
                <a:solidFill>
                  <a:schemeClr val="accent1">
                    <a:lumMod val="75000"/>
                  </a:schemeClr>
                </a:solidFill>
                <a:latin typeface="+mj-lt"/>
              </a:rPr>
              <a:t> Trend</a:t>
            </a:r>
            <a:endParaRPr lang="en-IN" sz="1800" b="1">
              <a:solidFill>
                <a:schemeClr val="accent1">
                  <a:lumMod val="75000"/>
                </a:schemeClr>
              </a:solidFill>
              <a:latin typeface="+mj-lt"/>
            </a:endParaRPr>
          </a:p>
        </c:rich>
      </c:tx>
      <c:layout>
        <c:manualLayout>
          <c:xMode val="edge"/>
          <c:yMode val="edge"/>
          <c:x val="5.9445302395809509E-2"/>
          <c:y val="2.8145256115498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6000">
                <a:schemeClr val="accent1">
                  <a:lumMod val="40000"/>
                  <a:lumOff val="60000"/>
                </a:schemeClr>
              </a:gs>
              <a:gs pos="95000">
                <a:schemeClr val="accent1">
                  <a:lumMod val="75000"/>
                  <a:alpha val="5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bg1"/>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pivots!$C$14</c:f>
              <c:strCache>
                <c:ptCount val="1"/>
                <c:pt idx="0">
                  <c:v>Call Count2</c:v>
                </c:pt>
              </c:strCache>
            </c:strRef>
          </c:tx>
          <c:spPr>
            <a:gradFill flip="none" rotWithShape="1">
              <a:gsLst>
                <a:gs pos="6000">
                  <a:schemeClr val="accent1">
                    <a:lumMod val="40000"/>
                    <a:lumOff val="60000"/>
                  </a:schemeClr>
                </a:gs>
                <a:gs pos="95000">
                  <a:schemeClr val="accent1">
                    <a:lumMod val="75000"/>
                    <a:alpha val="50000"/>
                  </a:schemeClr>
                </a:gs>
              </a:gsLst>
              <a:lin ang="16200000" scaled="1"/>
              <a:tileRect/>
            </a:gradFill>
            <a:ln>
              <a:noFill/>
            </a:ln>
            <a:effectLst/>
          </c:spP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pivots!$C$15:$C$27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E485-4996-9D18-9976392C66F3}"/>
            </c:ext>
          </c:extLst>
        </c:ser>
        <c:dLbls>
          <c:showLegendKey val="0"/>
          <c:showVal val="0"/>
          <c:showCatName val="0"/>
          <c:showSerName val="0"/>
          <c:showPercent val="0"/>
          <c:showBubbleSize val="0"/>
        </c:dLbls>
        <c:axId val="19093727"/>
        <c:axId val="19087967"/>
      </c:areaChart>
      <c:lineChart>
        <c:grouping val="standard"/>
        <c:varyColors val="0"/>
        <c:ser>
          <c:idx val="0"/>
          <c:order val="0"/>
          <c:tx>
            <c:strRef>
              <c:f>pivots!$B$14</c:f>
              <c:strCache>
                <c:ptCount val="1"/>
                <c:pt idx="0">
                  <c:v>Call Count</c:v>
                </c:pt>
              </c:strCache>
            </c:strRef>
          </c:tx>
          <c:spPr>
            <a:ln w="28575" cap="rnd">
              <a:solidFill>
                <a:schemeClr val="accent1"/>
              </a:solidFill>
              <a:round/>
            </a:ln>
            <a:effectLst/>
          </c:spPr>
          <c:marker>
            <c:symbol val="circle"/>
            <c:size val="7"/>
            <c:spPr>
              <a:solidFill>
                <a:schemeClr val="bg1"/>
              </a:solidFill>
              <a:ln w="25400">
                <a:solidFill>
                  <a:schemeClr val="tx1">
                    <a:lumMod val="95000"/>
                    <a:lumOff val="5000"/>
                  </a:schemeClr>
                </a:solidFill>
              </a:ln>
              <a:effectLst/>
            </c:spPr>
          </c:marker>
          <c:cat>
            <c:strRef>
              <c:f>pivots!$A$15:$A$27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pivots!$B$15:$B$27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E485-4996-9D18-9976392C66F3}"/>
            </c:ext>
          </c:extLst>
        </c:ser>
        <c:dLbls>
          <c:showLegendKey val="0"/>
          <c:showVal val="0"/>
          <c:showCatName val="0"/>
          <c:showSerName val="0"/>
          <c:showPercent val="0"/>
          <c:showBubbleSize val="0"/>
        </c:dLbls>
        <c:marker val="1"/>
        <c:smooth val="0"/>
        <c:axId val="19093727"/>
        <c:axId val="19087967"/>
      </c:lineChart>
      <c:catAx>
        <c:axId val="1909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7967"/>
        <c:crosses val="autoZero"/>
        <c:auto val="1"/>
        <c:lblAlgn val="ctr"/>
        <c:lblOffset val="100"/>
        <c:noMultiLvlLbl val="0"/>
      </c:catAx>
      <c:valAx>
        <c:axId val="19087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accent1">
                    <a:lumMod val="50000"/>
                  </a:schemeClr>
                </a:solidFill>
                <a:latin typeface="+mj-lt"/>
              </a:rPr>
              <a:t>Calls</a:t>
            </a:r>
          </a:p>
        </c:rich>
      </c:tx>
      <c:layout>
        <c:manualLayout>
          <c:xMode val="edge"/>
          <c:yMode val="edge"/>
          <c:x val="4.927146398973347E-2"/>
          <c:y val="3.49999923447085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7047900256550741E-2"/>
          <c:y val="0.16763832728820488"/>
          <c:w val="0.9259041994868985"/>
          <c:h val="0.78139029278427541"/>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pivots!$F$32:$F$36</c:f>
              <c:strCache>
                <c:ptCount val="5"/>
                <c:pt idx="0">
                  <c:v>R01</c:v>
                </c:pt>
                <c:pt idx="1">
                  <c:v>R02</c:v>
                </c:pt>
                <c:pt idx="2">
                  <c:v>R03</c:v>
                </c:pt>
                <c:pt idx="3">
                  <c:v>R04</c:v>
                </c:pt>
                <c:pt idx="4">
                  <c:v>R05</c:v>
                </c:pt>
              </c:strCache>
            </c:strRef>
          </c:cat>
          <c:val>
            <c:numRef>
              <c:f>pivots!$G$32:$G$36</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482-4227-9598-785F02960E47}"/>
            </c:ext>
          </c:extLst>
        </c:ser>
        <c:ser>
          <c:idx val="1"/>
          <c:order val="1"/>
          <c:tx>
            <c:strRef>
              <c:f>pivots!$I$31</c:f>
              <c:strCache>
                <c:ptCount val="1"/>
                <c:pt idx="0">
                  <c:v>sel. Calls</c:v>
                </c:pt>
              </c:strCache>
            </c:strRef>
          </c:tx>
          <c:spPr>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60000"/>
                    <a:lumOff val="40000"/>
                  </a:schemeClr>
                </a:gs>
              </a:gsLst>
              <a:lin ang="10800000" scaled="1"/>
            </a:gradFill>
            <a:ln>
              <a:noFill/>
            </a:ln>
            <a:effectLst/>
          </c:spPr>
          <c:invertIfNegative val="0"/>
          <c:dPt>
            <c:idx val="0"/>
            <c:invertIfNegative val="0"/>
            <c:bubble3D val="0"/>
            <c:spPr>
              <a:gradFill>
                <a:gsLst>
                  <a:gs pos="0">
                    <a:schemeClr val="accent1">
                      <a:lumMod val="50000"/>
                    </a:schemeClr>
                  </a:gs>
                  <a:gs pos="74000">
                    <a:schemeClr val="accent1">
                      <a:lumMod val="45000"/>
                      <a:lumOff val="55000"/>
                    </a:schemeClr>
                  </a:gs>
                  <a:gs pos="83000">
                    <a:schemeClr val="accent1">
                      <a:lumMod val="45000"/>
                      <a:lumOff val="55000"/>
                    </a:schemeClr>
                  </a:gs>
                  <a:gs pos="100000">
                    <a:schemeClr val="accent1">
                      <a:lumMod val="60000"/>
                      <a:lumOff val="40000"/>
                    </a:schemeClr>
                  </a:gs>
                </a:gsLst>
                <a:lin ang="10800000" scaled="1"/>
              </a:gradFill>
              <a:ln>
                <a:noFill/>
              </a:ln>
              <a:effectLst/>
            </c:spPr>
            <c:extLst>
              <c:ext xmlns:c16="http://schemas.microsoft.com/office/drawing/2014/chart" uri="{C3380CC4-5D6E-409C-BE32-E72D297353CC}">
                <c16:uniqueId val="{00000002-8482-4227-9598-785F02960E47}"/>
              </c:ext>
            </c:extLst>
          </c:dPt>
          <c:val>
            <c:numRef>
              <c:f>pivots!$I$32:$I$36</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3-8482-4227-9598-785F02960E47}"/>
            </c:ext>
          </c:extLst>
        </c:ser>
        <c:dLbls>
          <c:showLegendKey val="0"/>
          <c:showVal val="0"/>
          <c:showCatName val="0"/>
          <c:showSerName val="0"/>
          <c:showPercent val="0"/>
          <c:showBubbleSize val="0"/>
        </c:dLbls>
        <c:gapWidth val="25"/>
        <c:overlap val="100"/>
        <c:axId val="1308729727"/>
        <c:axId val="1308730207"/>
      </c:barChart>
      <c:catAx>
        <c:axId val="1308729727"/>
        <c:scaling>
          <c:orientation val="maxMin"/>
        </c:scaling>
        <c:delete val="1"/>
        <c:axPos val="l"/>
        <c:numFmt formatCode="General" sourceLinked="1"/>
        <c:majorTickMark val="none"/>
        <c:minorTickMark val="none"/>
        <c:tickLblPos val="nextTo"/>
        <c:crossAx val="1308730207"/>
        <c:crosses val="autoZero"/>
        <c:auto val="1"/>
        <c:lblAlgn val="ctr"/>
        <c:lblOffset val="100"/>
        <c:noMultiLvlLbl val="0"/>
      </c:catAx>
      <c:valAx>
        <c:axId val="1308730207"/>
        <c:scaling>
          <c:orientation val="minMax"/>
          <c:min val="0"/>
        </c:scaling>
        <c:delete val="1"/>
        <c:axPos val="t"/>
        <c:numFmt formatCode="#,##0" sourceLinked="1"/>
        <c:majorTickMark val="none"/>
        <c:minorTickMark val="none"/>
        <c:tickLblPos val="nextTo"/>
        <c:crossAx val="130872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800">
                <a:solidFill>
                  <a:schemeClr val="accent1"/>
                </a:solidFill>
                <a:latin typeface="+mj-lt"/>
              </a:rPr>
              <a:t>Amount</a:t>
            </a:r>
          </a:p>
        </c:rich>
      </c:tx>
      <c:layout>
        <c:manualLayout>
          <c:xMode val="edge"/>
          <c:yMode val="edge"/>
          <c:x val="6.4721464630390413E-2"/>
          <c:y val="3.884188782585132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solidFill>
                <a:schemeClr val="bg2">
                  <a:lumMod val="75000"/>
                </a:schemeClr>
              </a:solidFill>
            </a:ln>
            <a:effectLst/>
          </c:spPr>
          <c:invertIfNegative val="0"/>
          <c:dPt>
            <c:idx val="0"/>
            <c:invertIfNegative val="0"/>
            <c:bubble3D val="0"/>
            <c:spPr>
              <a:solidFill>
                <a:schemeClr val="bg1">
                  <a:lumMod val="85000"/>
                </a:schemeClr>
              </a:solidFill>
              <a:ln>
                <a:solidFill>
                  <a:schemeClr val="bg2">
                    <a:lumMod val="75000"/>
                  </a:schemeClr>
                </a:solidFill>
              </a:ln>
              <a:effectLst/>
            </c:spPr>
            <c:extLst>
              <c:ext xmlns:c16="http://schemas.microsoft.com/office/drawing/2014/chart" uri="{C3380CC4-5D6E-409C-BE32-E72D297353CC}">
                <c16:uniqueId val="{00000001-BA2A-4BCA-BB84-F2BD8C5AAE84}"/>
              </c:ext>
            </c:extLst>
          </c:dPt>
          <c:dPt>
            <c:idx val="1"/>
            <c:invertIfNegative val="0"/>
            <c:bubble3D val="0"/>
            <c:spPr>
              <a:solidFill>
                <a:schemeClr val="bg1">
                  <a:lumMod val="85000"/>
                </a:schemeClr>
              </a:solidFill>
              <a:ln>
                <a:solidFill>
                  <a:schemeClr val="bg2">
                    <a:lumMod val="75000"/>
                  </a:schemeClr>
                </a:solidFill>
              </a:ln>
              <a:effectLst/>
            </c:spPr>
            <c:extLst>
              <c:ext xmlns:c16="http://schemas.microsoft.com/office/drawing/2014/chart" uri="{C3380CC4-5D6E-409C-BE32-E72D297353CC}">
                <c16:uniqueId val="{00000003-BA2A-4BCA-BB84-F2BD8C5AAE84}"/>
              </c:ext>
            </c:extLst>
          </c:dPt>
          <c:dPt>
            <c:idx val="2"/>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5-BA2A-4BCA-BB84-F2BD8C5AAE84}"/>
              </c:ext>
            </c:extLst>
          </c:dPt>
          <c:dPt>
            <c:idx val="3"/>
            <c:invertIfNegative val="0"/>
            <c:bubble3D val="0"/>
            <c:spPr>
              <a:solidFill>
                <a:schemeClr val="bg1">
                  <a:lumMod val="85000"/>
                </a:schemeClr>
              </a:solidFill>
              <a:ln>
                <a:solidFill>
                  <a:schemeClr val="bg2">
                    <a:lumMod val="75000"/>
                  </a:schemeClr>
                </a:solidFill>
              </a:ln>
              <a:effectLst/>
            </c:spPr>
            <c:extLst>
              <c:ext xmlns:c16="http://schemas.microsoft.com/office/drawing/2014/chart" uri="{C3380CC4-5D6E-409C-BE32-E72D297353CC}">
                <c16:uniqueId val="{00000007-BA2A-4BCA-BB84-F2BD8C5AAE84}"/>
              </c:ext>
            </c:extLst>
          </c:dPt>
          <c:dPt>
            <c:idx val="4"/>
            <c:invertIfNegative val="0"/>
            <c:bubble3D val="0"/>
            <c:spPr>
              <a:solidFill>
                <a:schemeClr val="bg1">
                  <a:lumMod val="85000"/>
                </a:schemeClr>
              </a:solidFill>
              <a:ln>
                <a:solidFill>
                  <a:schemeClr val="bg2">
                    <a:lumMod val="75000"/>
                  </a:schemeClr>
                </a:solidFill>
              </a:ln>
              <a:effectLst/>
            </c:spPr>
            <c:extLst>
              <c:ext xmlns:c16="http://schemas.microsoft.com/office/drawing/2014/chart" uri="{C3380CC4-5D6E-409C-BE32-E72D297353CC}">
                <c16:uniqueId val="{00000009-BA2A-4BCA-BB84-F2BD8C5AAE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pivots!$F$32:$F$36</c:f>
              <c:strCache>
                <c:ptCount val="5"/>
                <c:pt idx="0">
                  <c:v>R01</c:v>
                </c:pt>
                <c:pt idx="1">
                  <c:v>R02</c:v>
                </c:pt>
                <c:pt idx="2">
                  <c:v>R03</c:v>
                </c:pt>
                <c:pt idx="3">
                  <c:v>R04</c:v>
                </c:pt>
                <c:pt idx="4">
                  <c:v>R05</c:v>
                </c:pt>
              </c:strCache>
            </c:strRef>
          </c:cat>
          <c:val>
            <c:numRef>
              <c:f>pivots!$H$32:$H$36</c:f>
              <c:numCache>
                <c:formatCode>"₹"\ #,##0;#,##0\ \-"₹";"₹"\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A-BA2A-4BCA-BB84-F2BD8C5AAE84}"/>
            </c:ext>
          </c:extLst>
        </c:ser>
        <c:ser>
          <c:idx val="1"/>
          <c:order val="1"/>
          <c:tx>
            <c:strRef>
              <c:f>pivots!$J$31</c:f>
              <c:strCache>
                <c:ptCount val="1"/>
                <c:pt idx="0">
                  <c:v>sel amount</c:v>
                </c:pt>
              </c:strCache>
            </c:strRef>
          </c:tx>
          <c:spPr>
            <a:gradFill flip="none" rotWithShape="1">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60000"/>
                    <a:lumOff val="40000"/>
                  </a:schemeClr>
                </a:gs>
              </a:gsLst>
              <a:lin ang="10800000" scaled="1"/>
              <a:tileRect/>
            </a:gradFill>
            <a:ln>
              <a:noFill/>
            </a:ln>
            <a:effectLst/>
          </c:spPr>
          <c:invertIfNegative val="0"/>
          <c:val>
            <c:numRef>
              <c:f>pivots!$J$32:$J$36</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B-BA2A-4BCA-BB84-F2BD8C5AAE84}"/>
            </c:ext>
          </c:extLst>
        </c:ser>
        <c:dLbls>
          <c:showLegendKey val="0"/>
          <c:showVal val="0"/>
          <c:showCatName val="0"/>
          <c:showSerName val="0"/>
          <c:showPercent val="0"/>
          <c:showBubbleSize val="0"/>
        </c:dLbls>
        <c:gapWidth val="25"/>
        <c:overlap val="100"/>
        <c:axId val="1308729727"/>
        <c:axId val="1308730207"/>
      </c:barChart>
      <c:catAx>
        <c:axId val="13087297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730207"/>
        <c:crosses val="autoZero"/>
        <c:auto val="1"/>
        <c:lblAlgn val="ctr"/>
        <c:lblOffset val="100"/>
        <c:noMultiLvlLbl val="0"/>
      </c:catAx>
      <c:valAx>
        <c:axId val="1308730207"/>
        <c:scaling>
          <c:orientation val="minMax"/>
        </c:scaling>
        <c:delete val="1"/>
        <c:axPos val="t"/>
        <c:numFmt formatCode="&quot;₹&quot;\ #,##0;#,##0\ \-&quot;₹&quot;;&quot;₹&quot;\ #,##0" sourceLinked="1"/>
        <c:majorTickMark val="none"/>
        <c:minorTickMark val="none"/>
        <c:tickLblPos val="nextTo"/>
        <c:crossAx val="130872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lumMod val="50000"/>
                  </a:schemeClr>
                </a:solidFill>
                <a:latin typeface="+mj-lt"/>
              </a:rPr>
              <a:t>Female</a:t>
            </a:r>
            <a:r>
              <a:rPr lang="en-IN" baseline="0"/>
              <a:t> vs</a:t>
            </a:r>
            <a:r>
              <a:rPr lang="en-IN" baseline="0">
                <a:solidFill>
                  <a:schemeClr val="accent4">
                    <a:lumMod val="75000"/>
                  </a:schemeClr>
                </a:solidFill>
                <a:latin typeface="+mj-lt"/>
              </a:rPr>
              <a:t>. Male </a:t>
            </a:r>
            <a:r>
              <a:rPr lang="en-IN" baseline="0"/>
              <a:t>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lumMod val="75000"/>
            </a:schemeClr>
          </a:solidFill>
          <a:ln>
            <a:noFill/>
          </a:ln>
          <a:effectLst/>
        </c:spPr>
        <c:marker>
          <c:symbol val="none"/>
        </c:marker>
        <c:dLbl>
          <c:idx val="0"/>
          <c:spPr>
            <a:solidFill>
              <a:schemeClr val="lt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pivots!$B$41:$B$42</c:f>
              <c:strCache>
                <c:ptCount val="1"/>
                <c:pt idx="0">
                  <c:v>Female</c:v>
                </c:pt>
              </c:strCache>
            </c:strRef>
          </c:tx>
          <c:spPr>
            <a:solidFill>
              <a:schemeClr val="accent1"/>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pivots!$A$43:$A$46</c:f>
              <c:strCache>
                <c:ptCount val="3"/>
                <c:pt idx="0">
                  <c:v>Cincinnati</c:v>
                </c:pt>
                <c:pt idx="1">
                  <c:v>Cleveland</c:v>
                </c:pt>
                <c:pt idx="2">
                  <c:v>Columbus</c:v>
                </c:pt>
              </c:strCache>
            </c:strRef>
          </c:cat>
          <c:val>
            <c:numRef>
              <c:f>pivots!$B$43:$B$46</c:f>
              <c:numCache>
                <c:formatCode>#,##0</c:formatCode>
                <c:ptCount val="3"/>
                <c:pt idx="0">
                  <c:v>144</c:v>
                </c:pt>
                <c:pt idx="1">
                  <c:v>326</c:v>
                </c:pt>
                <c:pt idx="2">
                  <c:v>129</c:v>
                </c:pt>
              </c:numCache>
            </c:numRef>
          </c:val>
          <c:extLst>
            <c:ext xmlns:c16="http://schemas.microsoft.com/office/drawing/2014/chart" uri="{C3380CC4-5D6E-409C-BE32-E72D297353CC}">
              <c16:uniqueId val="{00000000-6580-4E81-8FE3-4EACB4D6C0F6}"/>
            </c:ext>
          </c:extLst>
        </c:ser>
        <c:ser>
          <c:idx val="1"/>
          <c:order val="1"/>
          <c:tx>
            <c:strRef>
              <c:f>pivots!$C$41:$C$42</c:f>
              <c:strCache>
                <c:ptCount val="1"/>
                <c:pt idx="0">
                  <c:v>Male</c:v>
                </c:pt>
              </c:strCache>
            </c:strRef>
          </c:tx>
          <c:spPr>
            <a:solidFill>
              <a:schemeClr val="accent4">
                <a:lumMod val="75000"/>
              </a:schemeClr>
            </a:solidFill>
            <a:ln>
              <a:noFill/>
            </a:ln>
            <a:effectLst/>
          </c:spPr>
          <c:invertIfNegative val="0"/>
          <c:dLbls>
            <c:spPr>
              <a:solidFill>
                <a:schemeClr val="lt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pivots!$A$43:$A$46</c:f>
              <c:strCache>
                <c:ptCount val="3"/>
                <c:pt idx="0">
                  <c:v>Cincinnati</c:v>
                </c:pt>
                <c:pt idx="1">
                  <c:v>Cleveland</c:v>
                </c:pt>
                <c:pt idx="2">
                  <c:v>Columbus</c:v>
                </c:pt>
              </c:strCache>
            </c:strRef>
          </c:cat>
          <c:val>
            <c:numRef>
              <c:f>pivots!$C$43:$C$46</c:f>
              <c:numCache>
                <c:formatCode>#,##0</c:formatCode>
                <c:ptCount val="3"/>
                <c:pt idx="0">
                  <c:v>132</c:v>
                </c:pt>
                <c:pt idx="1">
                  <c:v>63</c:v>
                </c:pt>
                <c:pt idx="2">
                  <c:v>206</c:v>
                </c:pt>
              </c:numCache>
            </c:numRef>
          </c:val>
          <c:extLst>
            <c:ext xmlns:c16="http://schemas.microsoft.com/office/drawing/2014/chart" uri="{C3380CC4-5D6E-409C-BE32-E72D297353CC}">
              <c16:uniqueId val="{00000001-6580-4E81-8FE3-4EACB4D6C0F6}"/>
            </c:ext>
          </c:extLst>
        </c:ser>
        <c:dLbls>
          <c:dLblPos val="ctr"/>
          <c:showLegendKey val="0"/>
          <c:showVal val="1"/>
          <c:showCatName val="0"/>
          <c:showSerName val="0"/>
          <c:showPercent val="0"/>
          <c:showBubbleSize val="0"/>
        </c:dLbls>
        <c:gapWidth val="25"/>
        <c:overlap val="100"/>
        <c:axId val="1439793743"/>
        <c:axId val="1439792783"/>
      </c:barChart>
      <c:catAx>
        <c:axId val="143979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92783"/>
        <c:crosses val="autoZero"/>
        <c:auto val="1"/>
        <c:lblAlgn val="ctr"/>
        <c:lblOffset val="100"/>
        <c:noMultiLvlLbl val="0"/>
      </c:catAx>
      <c:valAx>
        <c:axId val="1439792783"/>
        <c:scaling>
          <c:orientation val="minMax"/>
        </c:scaling>
        <c:delete val="1"/>
        <c:axPos val="l"/>
        <c:numFmt formatCode="0%" sourceLinked="1"/>
        <c:majorTickMark val="none"/>
        <c:minorTickMark val="none"/>
        <c:tickLblPos val="nextTo"/>
        <c:crossAx val="143979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satisfaction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pivots!$B$51</c:f>
              <c:strCache>
                <c:ptCount val="1"/>
                <c:pt idx="0">
                  <c:v>Total</c:v>
                </c:pt>
              </c:strCache>
            </c:strRef>
          </c:tx>
          <c:spPr>
            <a:solidFill>
              <a:schemeClr val="accent1"/>
            </a:solidFill>
            <a:ln>
              <a:noFill/>
            </a:ln>
            <a:effectLst/>
          </c:spPr>
          <c:invertIfNegative val="0"/>
          <c:cat>
            <c:strRef>
              <c:f>pivots!$A$52:$A$57</c:f>
              <c:strCache>
                <c:ptCount val="5"/>
                <c:pt idx="0">
                  <c:v>1</c:v>
                </c:pt>
                <c:pt idx="1">
                  <c:v>2</c:v>
                </c:pt>
                <c:pt idx="2">
                  <c:v>3</c:v>
                </c:pt>
                <c:pt idx="3">
                  <c:v>4</c:v>
                </c:pt>
                <c:pt idx="4">
                  <c:v>5</c:v>
                </c:pt>
              </c:strCache>
            </c:strRef>
          </c:cat>
          <c:val>
            <c:numRef>
              <c:f>pivots!$B$52:$B$57</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2946-4AEC-A5F1-11A6F11D8107}"/>
            </c:ext>
          </c:extLst>
        </c:ser>
        <c:dLbls>
          <c:showLegendKey val="0"/>
          <c:showVal val="0"/>
          <c:showCatName val="0"/>
          <c:showSerName val="0"/>
          <c:showPercent val="0"/>
          <c:showBubbleSize val="0"/>
        </c:dLbls>
        <c:gapWidth val="10"/>
        <c:overlap val="-27"/>
        <c:axId val="1448732783"/>
        <c:axId val="1448733743"/>
      </c:barChart>
      <c:catAx>
        <c:axId val="144873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733743"/>
        <c:crosses val="autoZero"/>
        <c:auto val="1"/>
        <c:lblAlgn val="ctr"/>
        <c:lblOffset val="100"/>
        <c:noMultiLvlLbl val="0"/>
      </c:catAx>
      <c:valAx>
        <c:axId val="1448733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73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1</xdr:col>
      <xdr:colOff>20230</xdr:colOff>
      <xdr:row>3</xdr:row>
      <xdr:rowOff>40461</xdr:rowOff>
    </xdr:from>
    <xdr:to>
      <xdr:col>3</xdr:col>
      <xdr:colOff>445062</xdr:colOff>
      <xdr:row>8</xdr:row>
      <xdr:rowOff>107894</xdr:rowOff>
    </xdr:to>
    <xdr:sp macro="" textlink="">
      <xdr:nvSpPr>
        <xdr:cNvPr id="7" name="Rectangle 6">
          <a:extLst>
            <a:ext uri="{FF2B5EF4-FFF2-40B4-BE49-F238E27FC236}">
              <a16:creationId xmlns:a16="http://schemas.microsoft.com/office/drawing/2014/main" id="{6F27BFF3-E278-344B-8D21-B974998488FB}"/>
            </a:ext>
          </a:extLst>
        </xdr:cNvPr>
        <xdr:cNvSpPr/>
      </xdr:nvSpPr>
      <xdr:spPr>
        <a:xfrm>
          <a:off x="310195" y="586673"/>
          <a:ext cx="1341929" cy="977787"/>
        </a:xfrm>
        <a:prstGeom prst="rect">
          <a:avLst/>
        </a:prstGeom>
        <a:ln>
          <a:solidFill>
            <a:schemeClr val="accent1"/>
          </a:solidFill>
        </a:ln>
        <a:effectLst>
          <a:outerShdw blurRad="165100" dist="114300" dir="2700000" algn="tl" rotWithShape="0">
            <a:prstClr val="black">
              <a:alpha val="7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139497</xdr:colOff>
      <xdr:row>3</xdr:row>
      <xdr:rowOff>107895</xdr:rowOff>
    </xdr:from>
    <xdr:to>
      <xdr:col>3</xdr:col>
      <xdr:colOff>373963</xdr:colOff>
      <xdr:row>4</xdr:row>
      <xdr:rowOff>122326</xdr:rowOff>
    </xdr:to>
    <xdr:sp macro="" textlink="">
      <xdr:nvSpPr>
        <xdr:cNvPr id="8" name="TextBox 7">
          <a:extLst>
            <a:ext uri="{FF2B5EF4-FFF2-40B4-BE49-F238E27FC236}">
              <a16:creationId xmlns:a16="http://schemas.microsoft.com/office/drawing/2014/main" id="{B742FF04-86D8-40B2-B732-77BC9489D52F}"/>
            </a:ext>
          </a:extLst>
        </xdr:cNvPr>
        <xdr:cNvSpPr txBox="1"/>
      </xdr:nvSpPr>
      <xdr:spPr>
        <a:xfrm>
          <a:off x="429462" y="654107"/>
          <a:ext cx="1151563" cy="19650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mj-lt"/>
            </a:rPr>
            <a:t>Calls</a:t>
          </a:r>
        </a:p>
      </xdr:txBody>
    </xdr:sp>
    <xdr:clientData/>
  </xdr:twoCellAnchor>
  <xdr:twoCellAnchor>
    <xdr:from>
      <xdr:col>1</xdr:col>
      <xdr:colOff>229273</xdr:colOff>
      <xdr:row>4</xdr:row>
      <xdr:rowOff>148993</xdr:rowOff>
    </xdr:from>
    <xdr:to>
      <xdr:col>3</xdr:col>
      <xdr:colOff>249503</xdr:colOff>
      <xdr:row>6</xdr:row>
      <xdr:rowOff>143131</xdr:rowOff>
    </xdr:to>
    <xdr:sp macro="" textlink="pivots!A4">
      <xdr:nvSpPr>
        <xdr:cNvPr id="9" name="TextBox 8">
          <a:extLst>
            <a:ext uri="{FF2B5EF4-FFF2-40B4-BE49-F238E27FC236}">
              <a16:creationId xmlns:a16="http://schemas.microsoft.com/office/drawing/2014/main" id="{A9C3E0BC-ED35-44AA-9D0E-C34D3D1693A9}"/>
            </a:ext>
          </a:extLst>
        </xdr:cNvPr>
        <xdr:cNvSpPr txBox="1"/>
      </xdr:nvSpPr>
      <xdr:spPr>
        <a:xfrm>
          <a:off x="519238" y="877276"/>
          <a:ext cx="937327" cy="35828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C5C048-A7C5-4BB9-B9B4-CD69262D3AE2}" type="TxLink">
            <a:rPr lang="en-US" sz="2000" b="0" i="0" u="none" strike="noStrike">
              <a:solidFill>
                <a:schemeClr val="bg1"/>
              </a:solidFill>
              <a:latin typeface="+mj-lt"/>
            </a:rPr>
            <a:pPr algn="ctr"/>
            <a:t>1,000</a:t>
          </a:fld>
          <a:endParaRPr lang="en-IN" sz="2000">
            <a:solidFill>
              <a:schemeClr val="bg1"/>
            </a:solidFill>
            <a:latin typeface="+mj-lt"/>
          </a:endParaRPr>
        </a:p>
      </xdr:txBody>
    </xdr:sp>
    <xdr:clientData/>
  </xdr:twoCellAnchor>
  <xdr:twoCellAnchor>
    <xdr:from>
      <xdr:col>2</xdr:col>
      <xdr:colOff>236234</xdr:colOff>
      <xdr:row>6</xdr:row>
      <xdr:rowOff>152781</xdr:rowOff>
    </xdr:from>
    <xdr:to>
      <xdr:col>3</xdr:col>
      <xdr:colOff>15519</xdr:colOff>
      <xdr:row>8</xdr:row>
      <xdr:rowOff>17602</xdr:rowOff>
    </xdr:to>
    <xdr:sp macro="" textlink="pivots!A10">
      <xdr:nvSpPr>
        <xdr:cNvPr id="10" name="TextBox 9">
          <a:extLst>
            <a:ext uri="{FF2B5EF4-FFF2-40B4-BE49-F238E27FC236}">
              <a16:creationId xmlns:a16="http://schemas.microsoft.com/office/drawing/2014/main" id="{1F413F35-D4D7-4847-A373-A9DECA5160E3}"/>
            </a:ext>
          </a:extLst>
        </xdr:cNvPr>
        <xdr:cNvSpPr txBox="1"/>
      </xdr:nvSpPr>
      <xdr:spPr>
        <a:xfrm>
          <a:off x="775703" y="1245206"/>
          <a:ext cx="446878" cy="22896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9323C6-7F1A-414A-8280-32A14A100C79}" type="TxLink">
            <a:rPr lang="en-US" sz="1100" b="0" i="0" u="none" strike="noStrike">
              <a:solidFill>
                <a:schemeClr val="bg1"/>
              </a:solidFill>
              <a:latin typeface="+mj-lt"/>
            </a:rPr>
            <a:pPr/>
            <a:t>218</a:t>
          </a:fld>
          <a:endParaRPr lang="en-IN" sz="1100">
            <a:solidFill>
              <a:schemeClr val="bg1"/>
            </a:solidFill>
            <a:latin typeface="+mj-lt"/>
          </a:endParaRPr>
        </a:p>
      </xdr:txBody>
    </xdr:sp>
    <xdr:clientData/>
  </xdr:twoCellAnchor>
  <xdr:twoCellAnchor editAs="oneCell">
    <xdr:from>
      <xdr:col>1</xdr:col>
      <xdr:colOff>75000</xdr:colOff>
      <xdr:row>3</xdr:row>
      <xdr:rowOff>119009</xdr:rowOff>
    </xdr:from>
    <xdr:to>
      <xdr:col>2</xdr:col>
      <xdr:colOff>16163</xdr:colOff>
      <xdr:row>4</xdr:row>
      <xdr:rowOff>132346</xdr:rowOff>
    </xdr:to>
    <xdr:pic>
      <xdr:nvPicPr>
        <xdr:cNvPr id="11" name="Graphic 10" descr="Receiver with solid fill">
          <a:extLst>
            <a:ext uri="{FF2B5EF4-FFF2-40B4-BE49-F238E27FC236}">
              <a16:creationId xmlns:a16="http://schemas.microsoft.com/office/drawing/2014/main" id="{19AEBDFA-7488-4E85-B1E4-CDFD5E09C4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4701891">
          <a:off x="362595" y="667591"/>
          <a:ext cx="195408" cy="190667"/>
        </a:xfrm>
        <a:prstGeom prst="rect">
          <a:avLst/>
        </a:prstGeom>
      </xdr:spPr>
    </xdr:pic>
    <xdr:clientData/>
  </xdr:twoCellAnchor>
  <xdr:twoCellAnchor>
    <xdr:from>
      <xdr:col>1</xdr:col>
      <xdr:colOff>1</xdr:colOff>
      <xdr:row>11</xdr:row>
      <xdr:rowOff>6743</xdr:rowOff>
    </xdr:from>
    <xdr:to>
      <xdr:col>3</xdr:col>
      <xdr:colOff>458549</xdr:colOff>
      <xdr:row>16</xdr:row>
      <xdr:rowOff>128124</xdr:rowOff>
    </xdr:to>
    <xdr:sp macro="" textlink="">
      <xdr:nvSpPr>
        <xdr:cNvPr id="12" name="Rectangle 11">
          <a:extLst>
            <a:ext uri="{FF2B5EF4-FFF2-40B4-BE49-F238E27FC236}">
              <a16:creationId xmlns:a16="http://schemas.microsoft.com/office/drawing/2014/main" id="{0E743000-DFC9-467F-9B02-296F46DA3D9C}"/>
            </a:ext>
          </a:extLst>
        </xdr:cNvPr>
        <xdr:cNvSpPr/>
      </xdr:nvSpPr>
      <xdr:spPr>
        <a:xfrm>
          <a:off x="289966" y="2009522"/>
          <a:ext cx="1375645" cy="1031735"/>
        </a:xfrm>
        <a:prstGeom prst="rect">
          <a:avLst/>
        </a:prstGeom>
        <a:ln>
          <a:solidFill>
            <a:schemeClr val="accent1"/>
          </a:solidFill>
        </a:ln>
        <a:effectLst>
          <a:outerShdw blurRad="165100" dist="114300" dir="2700000" algn="tl" rotWithShape="0">
            <a:prstClr val="black">
              <a:alpha val="7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6744</xdr:colOff>
      <xdr:row>18</xdr:row>
      <xdr:rowOff>175328</xdr:rowOff>
    </xdr:from>
    <xdr:to>
      <xdr:col>3</xdr:col>
      <xdr:colOff>431576</xdr:colOff>
      <xdr:row>24</xdr:row>
      <xdr:rowOff>60690</xdr:rowOff>
    </xdr:to>
    <xdr:sp macro="" textlink="">
      <xdr:nvSpPr>
        <xdr:cNvPr id="13" name="Rectangle 12">
          <a:extLst>
            <a:ext uri="{FF2B5EF4-FFF2-40B4-BE49-F238E27FC236}">
              <a16:creationId xmlns:a16="http://schemas.microsoft.com/office/drawing/2014/main" id="{8A3AB03D-3770-44CD-B3D7-4F9346CB1D3B}"/>
            </a:ext>
          </a:extLst>
        </xdr:cNvPr>
        <xdr:cNvSpPr/>
      </xdr:nvSpPr>
      <xdr:spPr>
        <a:xfrm>
          <a:off x="296709" y="3452602"/>
          <a:ext cx="1341929" cy="977787"/>
        </a:xfrm>
        <a:prstGeom prst="rect">
          <a:avLst/>
        </a:prstGeom>
        <a:ln>
          <a:solidFill>
            <a:schemeClr val="accent1"/>
          </a:solidFill>
        </a:ln>
        <a:effectLst>
          <a:outerShdw blurRad="165100" dist="114300" dir="2700000" algn="tl" rotWithShape="0">
            <a:prstClr val="black">
              <a:alpha val="7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13486</xdr:colOff>
      <xdr:row>27</xdr:row>
      <xdr:rowOff>53947</xdr:rowOff>
    </xdr:from>
    <xdr:to>
      <xdr:col>3</xdr:col>
      <xdr:colOff>438318</xdr:colOff>
      <xdr:row>32</xdr:row>
      <xdr:rowOff>121381</xdr:rowOff>
    </xdr:to>
    <xdr:sp macro="" textlink="">
      <xdr:nvSpPr>
        <xdr:cNvPr id="14" name="Rectangle 13">
          <a:extLst>
            <a:ext uri="{FF2B5EF4-FFF2-40B4-BE49-F238E27FC236}">
              <a16:creationId xmlns:a16="http://schemas.microsoft.com/office/drawing/2014/main" id="{AF0EA4DA-C504-4E65-B631-B3448AAC08C1}"/>
            </a:ext>
          </a:extLst>
        </xdr:cNvPr>
        <xdr:cNvSpPr/>
      </xdr:nvSpPr>
      <xdr:spPr>
        <a:xfrm>
          <a:off x="303451" y="4969859"/>
          <a:ext cx="1341929" cy="977787"/>
        </a:xfrm>
        <a:prstGeom prst="rect">
          <a:avLst/>
        </a:prstGeom>
        <a:ln>
          <a:solidFill>
            <a:schemeClr val="accent1"/>
          </a:solidFill>
        </a:ln>
        <a:effectLst>
          <a:outerShdw blurRad="165100" dist="114300" dir="2700000" algn="tl" rotWithShape="0">
            <a:prstClr val="black">
              <a:alpha val="7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277091</xdr:colOff>
      <xdr:row>35</xdr:row>
      <xdr:rowOff>13855</xdr:rowOff>
    </xdr:from>
    <xdr:to>
      <xdr:col>3</xdr:col>
      <xdr:colOff>410978</xdr:colOff>
      <xdr:row>40</xdr:row>
      <xdr:rowOff>81288</xdr:rowOff>
    </xdr:to>
    <xdr:sp macro="" textlink="">
      <xdr:nvSpPr>
        <xdr:cNvPr id="15" name="Rectangle 14">
          <a:extLst>
            <a:ext uri="{FF2B5EF4-FFF2-40B4-BE49-F238E27FC236}">
              <a16:creationId xmlns:a16="http://schemas.microsoft.com/office/drawing/2014/main" id="{DFC7F33D-EEF9-4D42-9F6F-C024AB375DA5}"/>
            </a:ext>
          </a:extLst>
        </xdr:cNvPr>
        <xdr:cNvSpPr/>
      </xdr:nvSpPr>
      <xdr:spPr>
        <a:xfrm>
          <a:off x="277091" y="6317673"/>
          <a:ext cx="1339232" cy="967979"/>
        </a:xfrm>
        <a:prstGeom prst="rect">
          <a:avLst/>
        </a:prstGeom>
        <a:ln>
          <a:solidFill>
            <a:schemeClr val="accent1"/>
          </a:solidFill>
        </a:ln>
        <a:effectLst>
          <a:outerShdw blurRad="165100" dist="114300" dir="2700000" algn="tl" rotWithShape="0">
            <a:prstClr val="black">
              <a:alpha val="7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107894</xdr:colOff>
      <xdr:row>11</xdr:row>
      <xdr:rowOff>87663</xdr:rowOff>
    </xdr:from>
    <xdr:to>
      <xdr:col>3</xdr:col>
      <xdr:colOff>262991</xdr:colOff>
      <xdr:row>12</xdr:row>
      <xdr:rowOff>134867</xdr:rowOff>
    </xdr:to>
    <xdr:sp macro="" textlink="">
      <xdr:nvSpPr>
        <xdr:cNvPr id="18" name="TextBox 17">
          <a:extLst>
            <a:ext uri="{FF2B5EF4-FFF2-40B4-BE49-F238E27FC236}">
              <a16:creationId xmlns:a16="http://schemas.microsoft.com/office/drawing/2014/main" id="{5291238E-D964-D014-3DE8-8C05836DF7AF}"/>
            </a:ext>
          </a:extLst>
        </xdr:cNvPr>
        <xdr:cNvSpPr txBox="1"/>
      </xdr:nvSpPr>
      <xdr:spPr>
        <a:xfrm>
          <a:off x="647363" y="2090442"/>
          <a:ext cx="822690" cy="229275"/>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ea typeface="+mn-ea"/>
              <a:cs typeface="+mn-cs"/>
            </a:rPr>
            <a:t>Amount</a:t>
          </a:r>
        </a:p>
      </xdr:txBody>
    </xdr:sp>
    <xdr:clientData/>
  </xdr:twoCellAnchor>
  <xdr:twoCellAnchor>
    <xdr:from>
      <xdr:col>1</xdr:col>
      <xdr:colOff>33715</xdr:colOff>
      <xdr:row>13</xdr:row>
      <xdr:rowOff>6744</xdr:rowOff>
    </xdr:from>
    <xdr:to>
      <xdr:col>3</xdr:col>
      <xdr:colOff>418088</xdr:colOff>
      <xdr:row>15</xdr:row>
      <xdr:rowOff>128124</xdr:rowOff>
    </xdr:to>
    <xdr:sp macro="" textlink="pivots!B4">
      <xdr:nvSpPr>
        <xdr:cNvPr id="20" name="TextBox 19">
          <a:extLst>
            <a:ext uri="{FF2B5EF4-FFF2-40B4-BE49-F238E27FC236}">
              <a16:creationId xmlns:a16="http://schemas.microsoft.com/office/drawing/2014/main" id="{00E7D988-E661-6AC8-7392-1B61F1385746}"/>
            </a:ext>
          </a:extLst>
        </xdr:cNvPr>
        <xdr:cNvSpPr txBox="1"/>
      </xdr:nvSpPr>
      <xdr:spPr>
        <a:xfrm>
          <a:off x="323680" y="2373664"/>
          <a:ext cx="1301470" cy="48552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D89BC9D-0A79-4593-8D10-9F1F0F606DEE}" type="TxLink">
            <a:rPr lang="en-US" sz="1600" b="0" i="0" u="none" strike="noStrike">
              <a:solidFill>
                <a:schemeClr val="bg1"/>
              </a:solidFill>
              <a:latin typeface="+mj-lt"/>
              <a:ea typeface="+mn-ea"/>
              <a:cs typeface="+mn-cs"/>
            </a:rPr>
            <a:pPr marL="0" indent="0" algn="ctr"/>
            <a:t>₹ 96,623</a:t>
          </a:fld>
          <a:endParaRPr lang="en-IN" sz="1600" b="0" i="0" u="none" strike="noStrike">
            <a:solidFill>
              <a:schemeClr val="bg1"/>
            </a:solidFill>
            <a:latin typeface="+mj-lt"/>
            <a:ea typeface="+mn-ea"/>
            <a:cs typeface="+mn-cs"/>
          </a:endParaRPr>
        </a:p>
      </xdr:txBody>
    </xdr:sp>
    <xdr:clientData/>
  </xdr:twoCellAnchor>
  <xdr:twoCellAnchor>
    <xdr:from>
      <xdr:col>2</xdr:col>
      <xdr:colOff>80920</xdr:colOff>
      <xdr:row>15</xdr:row>
      <xdr:rowOff>6745</xdr:rowOff>
    </xdr:from>
    <xdr:to>
      <xdr:col>3</xdr:col>
      <xdr:colOff>168584</xdr:colOff>
      <xdr:row>16</xdr:row>
      <xdr:rowOff>53948</xdr:rowOff>
    </xdr:to>
    <xdr:sp macro="" textlink="pivots!B10">
      <xdr:nvSpPr>
        <xdr:cNvPr id="21" name="TextBox 20">
          <a:extLst>
            <a:ext uri="{FF2B5EF4-FFF2-40B4-BE49-F238E27FC236}">
              <a16:creationId xmlns:a16="http://schemas.microsoft.com/office/drawing/2014/main" id="{8DDF3093-0777-5A6E-DF86-6E252469E4B5}"/>
            </a:ext>
          </a:extLst>
        </xdr:cNvPr>
        <xdr:cNvSpPr txBox="1"/>
      </xdr:nvSpPr>
      <xdr:spPr>
        <a:xfrm>
          <a:off x="620389" y="2737807"/>
          <a:ext cx="755257" cy="229274"/>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5FEA90-2306-4D69-A7CD-24F6EC1A83B8}" type="TxLink">
            <a:rPr lang="en-US" sz="1100" b="0" i="0" u="none" strike="noStrike">
              <a:solidFill>
                <a:schemeClr val="bg1"/>
              </a:solidFill>
              <a:latin typeface="+mj-lt"/>
              <a:ea typeface="+mn-ea"/>
              <a:cs typeface="+mn-cs"/>
            </a:rPr>
            <a:pPr marL="0" indent="0"/>
            <a:t>₹ 20,581</a:t>
          </a:fld>
          <a:endParaRPr lang="en-IN" sz="1100" b="0" i="0" u="none" strike="noStrike">
            <a:solidFill>
              <a:schemeClr val="bg1"/>
            </a:solidFill>
            <a:latin typeface="+mj-lt"/>
            <a:ea typeface="+mn-ea"/>
            <a:cs typeface="+mn-cs"/>
          </a:endParaRPr>
        </a:p>
      </xdr:txBody>
    </xdr:sp>
    <xdr:clientData/>
  </xdr:twoCellAnchor>
  <xdr:twoCellAnchor editAs="oneCell">
    <xdr:from>
      <xdr:col>1</xdr:col>
      <xdr:colOff>20231</xdr:colOff>
      <xdr:row>11</xdr:row>
      <xdr:rowOff>60690</xdr:rowOff>
    </xdr:from>
    <xdr:to>
      <xdr:col>2</xdr:col>
      <xdr:colOff>57647</xdr:colOff>
      <xdr:row>12</xdr:row>
      <xdr:rowOff>155096</xdr:rowOff>
    </xdr:to>
    <xdr:pic>
      <xdr:nvPicPr>
        <xdr:cNvPr id="22" name="Graphic 21" descr="Shopping cart with solid fill">
          <a:extLst>
            <a:ext uri="{FF2B5EF4-FFF2-40B4-BE49-F238E27FC236}">
              <a16:creationId xmlns:a16="http://schemas.microsoft.com/office/drawing/2014/main" id="{845D3476-CD7B-4EB3-BDEA-D976E3347D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0196" y="2063469"/>
          <a:ext cx="286920" cy="276478"/>
        </a:xfrm>
        <a:prstGeom prst="rect">
          <a:avLst/>
        </a:prstGeom>
      </xdr:spPr>
    </xdr:pic>
    <xdr:clientData/>
  </xdr:twoCellAnchor>
  <xdr:oneCellAnchor>
    <xdr:from>
      <xdr:col>7</xdr:col>
      <xdr:colOff>222531</xdr:colOff>
      <xdr:row>13</xdr:row>
      <xdr:rowOff>33717</xdr:rowOff>
    </xdr:from>
    <xdr:ext cx="184731" cy="264560"/>
    <xdr:sp macro="" textlink="">
      <xdr:nvSpPr>
        <xdr:cNvPr id="23" name="TextBox 22">
          <a:extLst>
            <a:ext uri="{FF2B5EF4-FFF2-40B4-BE49-F238E27FC236}">
              <a16:creationId xmlns:a16="http://schemas.microsoft.com/office/drawing/2014/main" id="{34BAB680-23B6-84EA-6443-4A8CAD1C0264}"/>
            </a:ext>
          </a:extLst>
        </xdr:cNvPr>
        <xdr:cNvSpPr txBox="1"/>
      </xdr:nvSpPr>
      <xdr:spPr>
        <a:xfrm>
          <a:off x="4099965" y="240063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94406</xdr:colOff>
      <xdr:row>19</xdr:row>
      <xdr:rowOff>87663</xdr:rowOff>
    </xdr:from>
    <xdr:to>
      <xdr:col>3</xdr:col>
      <xdr:colOff>182070</xdr:colOff>
      <xdr:row>20</xdr:row>
      <xdr:rowOff>134866</xdr:rowOff>
    </xdr:to>
    <xdr:sp macro="" textlink="">
      <xdr:nvSpPr>
        <xdr:cNvPr id="25" name="TextBox 24">
          <a:extLst>
            <a:ext uri="{FF2B5EF4-FFF2-40B4-BE49-F238E27FC236}">
              <a16:creationId xmlns:a16="http://schemas.microsoft.com/office/drawing/2014/main" id="{930EEA2B-37A1-1ECC-398B-921E0537B2A5}"/>
            </a:ext>
          </a:extLst>
        </xdr:cNvPr>
        <xdr:cNvSpPr txBox="1"/>
      </xdr:nvSpPr>
      <xdr:spPr>
        <a:xfrm>
          <a:off x="633875" y="3547008"/>
          <a:ext cx="755257" cy="229274"/>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0" i="0" u="none" strike="noStrike">
              <a:solidFill>
                <a:schemeClr val="bg1"/>
              </a:solidFill>
              <a:latin typeface="+mj-lt"/>
              <a:ea typeface="+mn-ea"/>
              <a:cs typeface="+mn-cs"/>
            </a:rPr>
            <a:t>Duration</a:t>
          </a:r>
        </a:p>
      </xdr:txBody>
    </xdr:sp>
    <xdr:clientData/>
  </xdr:twoCellAnchor>
  <xdr:twoCellAnchor editAs="oneCell">
    <xdr:from>
      <xdr:col>1</xdr:col>
      <xdr:colOff>53947</xdr:colOff>
      <xdr:row>19</xdr:row>
      <xdr:rowOff>67435</xdr:rowOff>
    </xdr:from>
    <xdr:to>
      <xdr:col>2</xdr:col>
      <xdr:colOff>47205</xdr:colOff>
      <xdr:row>20</xdr:row>
      <xdr:rowOff>125182</xdr:rowOff>
    </xdr:to>
    <xdr:pic>
      <xdr:nvPicPr>
        <xdr:cNvPr id="26" name="Graphic 25" descr="Hourglass Finished with solid fill">
          <a:extLst>
            <a:ext uri="{FF2B5EF4-FFF2-40B4-BE49-F238E27FC236}">
              <a16:creationId xmlns:a16="http://schemas.microsoft.com/office/drawing/2014/main" id="{0A74438A-6436-4779-BE71-48AA8B1631D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3912" y="3526780"/>
          <a:ext cx="242762" cy="239818"/>
        </a:xfrm>
        <a:prstGeom prst="rect">
          <a:avLst/>
        </a:prstGeom>
      </xdr:spPr>
    </xdr:pic>
    <xdr:clientData/>
  </xdr:twoCellAnchor>
  <xdr:twoCellAnchor>
    <xdr:from>
      <xdr:col>2</xdr:col>
      <xdr:colOff>47204</xdr:colOff>
      <xdr:row>20</xdr:row>
      <xdr:rowOff>141610</xdr:rowOff>
    </xdr:from>
    <xdr:to>
      <xdr:col>3</xdr:col>
      <xdr:colOff>222531</xdr:colOff>
      <xdr:row>22</xdr:row>
      <xdr:rowOff>80920</xdr:rowOff>
    </xdr:to>
    <xdr:sp macro="" textlink="pivots!C4">
      <xdr:nvSpPr>
        <xdr:cNvPr id="27" name="TextBox 26">
          <a:extLst>
            <a:ext uri="{FF2B5EF4-FFF2-40B4-BE49-F238E27FC236}">
              <a16:creationId xmlns:a16="http://schemas.microsoft.com/office/drawing/2014/main" id="{363CB198-3D56-FC68-501B-480CBE6DF03F}"/>
            </a:ext>
          </a:extLst>
        </xdr:cNvPr>
        <xdr:cNvSpPr txBox="1"/>
      </xdr:nvSpPr>
      <xdr:spPr>
        <a:xfrm>
          <a:off x="586673" y="3783026"/>
          <a:ext cx="842920" cy="30345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F09C561-2B8D-4D7E-97A4-54A7FEE8A7CD}" type="TxLink">
            <a:rPr lang="en-US" sz="1600" b="0" i="0" u="none" strike="noStrike">
              <a:solidFill>
                <a:schemeClr val="bg1"/>
              </a:solidFill>
              <a:latin typeface="+mj-lt"/>
              <a:ea typeface="+mn-ea"/>
              <a:cs typeface="+mn-cs"/>
            </a:rPr>
            <a:pPr marL="0" indent="0" algn="ctr"/>
            <a:t>89,850</a:t>
          </a:fld>
          <a:endParaRPr lang="en-IN" sz="1600" b="0" i="0" u="none" strike="noStrike">
            <a:solidFill>
              <a:schemeClr val="bg1"/>
            </a:solidFill>
            <a:latin typeface="+mj-lt"/>
            <a:ea typeface="+mn-ea"/>
            <a:cs typeface="+mn-cs"/>
          </a:endParaRPr>
        </a:p>
      </xdr:txBody>
    </xdr:sp>
    <xdr:clientData/>
  </xdr:twoCellAnchor>
  <xdr:twoCellAnchor>
    <xdr:from>
      <xdr:col>2</xdr:col>
      <xdr:colOff>155097</xdr:colOff>
      <xdr:row>22</xdr:row>
      <xdr:rowOff>121380</xdr:rowOff>
    </xdr:from>
    <xdr:to>
      <xdr:col>3</xdr:col>
      <xdr:colOff>236017</xdr:colOff>
      <xdr:row>23</xdr:row>
      <xdr:rowOff>168584</xdr:rowOff>
    </xdr:to>
    <xdr:sp macro="" textlink="pivots!C10">
      <xdr:nvSpPr>
        <xdr:cNvPr id="28" name="TextBox 27">
          <a:extLst>
            <a:ext uri="{FF2B5EF4-FFF2-40B4-BE49-F238E27FC236}">
              <a16:creationId xmlns:a16="http://schemas.microsoft.com/office/drawing/2014/main" id="{B80DEE33-2D37-A565-2939-6FE425EFC571}"/>
            </a:ext>
          </a:extLst>
        </xdr:cNvPr>
        <xdr:cNvSpPr txBox="1"/>
      </xdr:nvSpPr>
      <xdr:spPr>
        <a:xfrm>
          <a:off x="694566" y="4126938"/>
          <a:ext cx="748513" cy="229274"/>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C170C06-C14B-4D0D-AFF7-1FC47F27DFCA}" type="TxLink">
            <a:rPr lang="en-US" sz="1100" b="0" i="0" u="none" strike="noStrike">
              <a:solidFill>
                <a:schemeClr val="bg1"/>
              </a:solidFill>
              <a:latin typeface="+mj-lt"/>
              <a:ea typeface="+mn-ea"/>
              <a:cs typeface="+mn-cs"/>
            </a:rPr>
            <a:pPr marL="0" indent="0"/>
            <a:t>19,300</a:t>
          </a:fld>
          <a:endParaRPr lang="en-IN" sz="1100" b="0" i="0" u="none" strike="noStrike">
            <a:solidFill>
              <a:schemeClr val="bg1"/>
            </a:solidFill>
            <a:latin typeface="+mj-lt"/>
            <a:ea typeface="+mn-ea"/>
            <a:cs typeface="+mn-cs"/>
          </a:endParaRPr>
        </a:p>
      </xdr:txBody>
    </xdr:sp>
    <xdr:clientData/>
  </xdr:twoCellAnchor>
  <xdr:twoCellAnchor>
    <xdr:from>
      <xdr:col>1</xdr:col>
      <xdr:colOff>229274</xdr:colOff>
      <xdr:row>27</xdr:row>
      <xdr:rowOff>114637</xdr:rowOff>
    </xdr:from>
    <xdr:to>
      <xdr:col>3</xdr:col>
      <xdr:colOff>269734</xdr:colOff>
      <xdr:row>28</xdr:row>
      <xdr:rowOff>161841</xdr:rowOff>
    </xdr:to>
    <xdr:sp macro="" textlink="">
      <xdr:nvSpPr>
        <xdr:cNvPr id="29" name="TextBox 28">
          <a:extLst>
            <a:ext uri="{FF2B5EF4-FFF2-40B4-BE49-F238E27FC236}">
              <a16:creationId xmlns:a16="http://schemas.microsoft.com/office/drawing/2014/main" id="{7A39B05F-5451-7F64-43F4-24BC7758319F}"/>
            </a:ext>
          </a:extLst>
        </xdr:cNvPr>
        <xdr:cNvSpPr txBox="1"/>
      </xdr:nvSpPr>
      <xdr:spPr>
        <a:xfrm>
          <a:off x="519239" y="5030549"/>
          <a:ext cx="957557" cy="229274"/>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latin typeface="+mj-lt"/>
            </a:rPr>
            <a:t>Avg.</a:t>
          </a:r>
          <a:r>
            <a:rPr lang="en-IN" sz="1100" baseline="0">
              <a:solidFill>
                <a:schemeClr val="bg1"/>
              </a:solidFill>
              <a:latin typeface="+mj-lt"/>
            </a:rPr>
            <a:t> Rating</a:t>
          </a:r>
          <a:endParaRPr lang="en-IN" sz="1100">
            <a:solidFill>
              <a:schemeClr val="bg1"/>
            </a:solidFill>
            <a:latin typeface="+mj-lt"/>
          </a:endParaRPr>
        </a:p>
      </xdr:txBody>
    </xdr:sp>
    <xdr:clientData/>
  </xdr:twoCellAnchor>
  <xdr:twoCellAnchor>
    <xdr:from>
      <xdr:col>1</xdr:col>
      <xdr:colOff>229274</xdr:colOff>
      <xdr:row>28</xdr:row>
      <xdr:rowOff>161840</xdr:rowOff>
    </xdr:from>
    <xdr:to>
      <xdr:col>3</xdr:col>
      <xdr:colOff>175327</xdr:colOff>
      <xdr:row>30</xdr:row>
      <xdr:rowOff>80920</xdr:rowOff>
    </xdr:to>
    <xdr:sp macro="" textlink="pivots!D4">
      <xdr:nvSpPr>
        <xdr:cNvPr id="30" name="TextBox 29">
          <a:extLst>
            <a:ext uri="{FF2B5EF4-FFF2-40B4-BE49-F238E27FC236}">
              <a16:creationId xmlns:a16="http://schemas.microsoft.com/office/drawing/2014/main" id="{A8C26487-904B-BA98-0C81-F17D4A766BB6}"/>
            </a:ext>
          </a:extLst>
        </xdr:cNvPr>
        <xdr:cNvSpPr txBox="1"/>
      </xdr:nvSpPr>
      <xdr:spPr>
        <a:xfrm>
          <a:off x="519239" y="5259822"/>
          <a:ext cx="863150" cy="283222"/>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6A60F5D-8FFE-4717-8722-CF3D37C3391B}" type="TxLink">
            <a:rPr lang="en-US" sz="1600" b="0" i="0" u="none" strike="noStrike">
              <a:solidFill>
                <a:schemeClr val="bg1"/>
              </a:solidFill>
              <a:latin typeface="+mj-lt"/>
              <a:ea typeface="+mn-ea"/>
              <a:cs typeface="+mn-cs"/>
            </a:rPr>
            <a:pPr marL="0" indent="0" algn="ctr"/>
            <a:t>3.9</a:t>
          </a:fld>
          <a:endParaRPr lang="en-IN" sz="1600" b="0" i="0" u="none" strike="noStrike">
            <a:solidFill>
              <a:schemeClr val="bg1"/>
            </a:solidFill>
            <a:latin typeface="+mj-lt"/>
            <a:ea typeface="+mn-ea"/>
            <a:cs typeface="+mn-cs"/>
          </a:endParaRPr>
        </a:p>
      </xdr:txBody>
    </xdr:sp>
    <xdr:clientData/>
  </xdr:twoCellAnchor>
  <xdr:twoCellAnchor>
    <xdr:from>
      <xdr:col>2</xdr:col>
      <xdr:colOff>222530</xdr:colOff>
      <xdr:row>30</xdr:row>
      <xdr:rowOff>161841</xdr:rowOff>
    </xdr:from>
    <xdr:to>
      <xdr:col>3</xdr:col>
      <xdr:colOff>424830</xdr:colOff>
      <xdr:row>31</xdr:row>
      <xdr:rowOff>182070</xdr:rowOff>
    </xdr:to>
    <xdr:sp macro="" textlink="pivots!D10">
      <xdr:nvSpPr>
        <xdr:cNvPr id="31" name="TextBox 30">
          <a:extLst>
            <a:ext uri="{FF2B5EF4-FFF2-40B4-BE49-F238E27FC236}">
              <a16:creationId xmlns:a16="http://schemas.microsoft.com/office/drawing/2014/main" id="{BF2CE223-286C-9313-6C6F-5B986E9E3628}"/>
            </a:ext>
          </a:extLst>
        </xdr:cNvPr>
        <xdr:cNvSpPr txBox="1"/>
      </xdr:nvSpPr>
      <xdr:spPr>
        <a:xfrm>
          <a:off x="761999" y="5623965"/>
          <a:ext cx="869893" cy="2023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4D027B-2055-4543-94AF-002EC1091BCE}" type="TxLink">
            <a:rPr lang="en-US" sz="1100" b="0" i="0" u="none" strike="noStrike">
              <a:solidFill>
                <a:schemeClr val="bg1"/>
              </a:solidFill>
              <a:latin typeface="+mj-lt"/>
              <a:ea typeface="+mn-ea"/>
              <a:cs typeface="+mn-cs"/>
            </a:rPr>
            <a:pPr marL="0" indent="0"/>
            <a:t>3.9</a:t>
          </a:fld>
          <a:endParaRPr lang="en-IN" sz="1100" b="0" i="0" u="none" strike="noStrike">
            <a:solidFill>
              <a:schemeClr val="bg1"/>
            </a:solidFill>
            <a:latin typeface="+mj-lt"/>
            <a:ea typeface="+mn-ea"/>
            <a:cs typeface="+mn-cs"/>
          </a:endParaRPr>
        </a:p>
      </xdr:txBody>
    </xdr:sp>
    <xdr:clientData/>
  </xdr:twoCellAnchor>
  <xdr:twoCellAnchor editAs="oneCell">
    <xdr:from>
      <xdr:col>1</xdr:col>
      <xdr:colOff>16740</xdr:colOff>
      <xdr:row>27</xdr:row>
      <xdr:rowOff>88823</xdr:rowOff>
    </xdr:from>
    <xdr:to>
      <xdr:col>2</xdr:col>
      <xdr:colOff>31851</xdr:colOff>
      <xdr:row>28</xdr:row>
      <xdr:rowOff>164977</xdr:rowOff>
    </xdr:to>
    <xdr:pic>
      <xdr:nvPicPr>
        <xdr:cNvPr id="32" name="Graphic 31" descr="Rating Star with solid fill">
          <a:extLst>
            <a:ext uri="{FF2B5EF4-FFF2-40B4-BE49-F238E27FC236}">
              <a16:creationId xmlns:a16="http://schemas.microsoft.com/office/drawing/2014/main" id="{C2F68A3A-A3DC-4DC1-A810-AEE9B13B24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18975339">
          <a:off x="306705" y="5004735"/>
          <a:ext cx="264615" cy="258223"/>
        </a:xfrm>
        <a:prstGeom prst="rect">
          <a:avLst/>
        </a:prstGeom>
      </xdr:spPr>
    </xdr:pic>
    <xdr:clientData/>
  </xdr:twoCellAnchor>
  <xdr:twoCellAnchor>
    <xdr:from>
      <xdr:col>1</xdr:col>
      <xdr:colOff>229274</xdr:colOff>
      <xdr:row>35</xdr:row>
      <xdr:rowOff>87662</xdr:rowOff>
    </xdr:from>
    <xdr:to>
      <xdr:col>3</xdr:col>
      <xdr:colOff>364141</xdr:colOff>
      <xdr:row>37</xdr:row>
      <xdr:rowOff>20230</xdr:rowOff>
    </xdr:to>
    <xdr:sp macro="" textlink="">
      <xdr:nvSpPr>
        <xdr:cNvPr id="33" name="TextBox 32">
          <a:extLst>
            <a:ext uri="{FF2B5EF4-FFF2-40B4-BE49-F238E27FC236}">
              <a16:creationId xmlns:a16="http://schemas.microsoft.com/office/drawing/2014/main" id="{9D45F32E-F09C-2805-58F6-2866C43ABB4D}"/>
            </a:ext>
          </a:extLst>
        </xdr:cNvPr>
        <xdr:cNvSpPr txBox="1"/>
      </xdr:nvSpPr>
      <xdr:spPr>
        <a:xfrm>
          <a:off x="519239" y="6460140"/>
          <a:ext cx="1051964" cy="296709"/>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aseline="0">
              <a:solidFill>
                <a:schemeClr val="bg1"/>
              </a:solidFill>
              <a:latin typeface="+mj-lt"/>
              <a:ea typeface="+mn-ea"/>
              <a:cs typeface="+mn-cs"/>
            </a:rPr>
            <a:t>Happy Callers</a:t>
          </a:r>
        </a:p>
      </xdr:txBody>
    </xdr:sp>
    <xdr:clientData/>
  </xdr:twoCellAnchor>
  <xdr:twoCellAnchor>
    <xdr:from>
      <xdr:col>2</xdr:col>
      <xdr:colOff>40460</xdr:colOff>
      <xdr:row>37</xdr:row>
      <xdr:rowOff>40461</xdr:rowOff>
    </xdr:from>
    <xdr:to>
      <xdr:col>3</xdr:col>
      <xdr:colOff>188814</xdr:colOff>
      <xdr:row>38</xdr:row>
      <xdr:rowOff>107894</xdr:rowOff>
    </xdr:to>
    <xdr:sp macro="" textlink="pivots!E4">
      <xdr:nvSpPr>
        <xdr:cNvPr id="34" name="TextBox 33">
          <a:extLst>
            <a:ext uri="{FF2B5EF4-FFF2-40B4-BE49-F238E27FC236}">
              <a16:creationId xmlns:a16="http://schemas.microsoft.com/office/drawing/2014/main" id="{16E1FCBF-3A73-BCBA-CE02-CA49850C2794}"/>
            </a:ext>
          </a:extLst>
        </xdr:cNvPr>
        <xdr:cNvSpPr txBox="1"/>
      </xdr:nvSpPr>
      <xdr:spPr>
        <a:xfrm>
          <a:off x="579929" y="6777080"/>
          <a:ext cx="815947" cy="249504"/>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50FBDF1-1732-48A1-8E13-672DFC1A0F84}" type="TxLink">
            <a:rPr lang="en-US" sz="1600" b="0" i="0" u="none" strike="noStrike">
              <a:solidFill>
                <a:schemeClr val="bg1"/>
              </a:solidFill>
              <a:latin typeface="+mj-lt"/>
              <a:ea typeface="+mn-ea"/>
              <a:cs typeface="+mn-cs"/>
            </a:rPr>
            <a:pPr marL="0" indent="0" algn="ctr"/>
            <a:t>307</a:t>
          </a:fld>
          <a:endParaRPr lang="en-IN" sz="1600" b="0" i="0" u="none" strike="noStrike">
            <a:solidFill>
              <a:schemeClr val="bg1"/>
            </a:solidFill>
            <a:latin typeface="+mj-lt"/>
            <a:ea typeface="+mn-ea"/>
            <a:cs typeface="+mn-cs"/>
          </a:endParaRPr>
        </a:p>
      </xdr:txBody>
    </xdr:sp>
    <xdr:clientData/>
  </xdr:twoCellAnchor>
  <xdr:twoCellAnchor>
    <xdr:from>
      <xdr:col>2</xdr:col>
      <xdr:colOff>283222</xdr:colOff>
      <xdr:row>38</xdr:row>
      <xdr:rowOff>161841</xdr:rowOff>
    </xdr:from>
    <xdr:to>
      <xdr:col>3</xdr:col>
      <xdr:colOff>67434</xdr:colOff>
      <xdr:row>40</xdr:row>
      <xdr:rowOff>26973</xdr:rowOff>
    </xdr:to>
    <xdr:sp macro="" textlink="pivots!E10">
      <xdr:nvSpPr>
        <xdr:cNvPr id="35" name="TextBox 34">
          <a:extLst>
            <a:ext uri="{FF2B5EF4-FFF2-40B4-BE49-F238E27FC236}">
              <a16:creationId xmlns:a16="http://schemas.microsoft.com/office/drawing/2014/main" id="{7D0DAF45-7B54-6130-B62F-23CECD5100BF}"/>
            </a:ext>
          </a:extLst>
        </xdr:cNvPr>
        <xdr:cNvSpPr txBox="1"/>
      </xdr:nvSpPr>
      <xdr:spPr>
        <a:xfrm>
          <a:off x="822691" y="7080531"/>
          <a:ext cx="451805" cy="229274"/>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4F9A1EE-0E77-4ABD-A226-8854C9A89D0B}" type="TxLink">
            <a:rPr lang="en-US" sz="1100" b="0" i="0" u="none" strike="noStrike">
              <a:solidFill>
                <a:schemeClr val="bg1"/>
              </a:solidFill>
              <a:latin typeface="+mj-lt"/>
              <a:ea typeface="+mn-ea"/>
              <a:cs typeface="+mn-cs"/>
            </a:rPr>
            <a:pPr marL="0" indent="0" algn="l"/>
            <a:t>74</a:t>
          </a:fld>
          <a:endParaRPr lang="en-IN" sz="1100" b="0" i="0" u="none" strike="noStrike">
            <a:solidFill>
              <a:schemeClr val="bg1"/>
            </a:solidFill>
            <a:latin typeface="+mj-lt"/>
            <a:ea typeface="+mn-ea"/>
            <a:cs typeface="+mn-cs"/>
          </a:endParaRPr>
        </a:p>
      </xdr:txBody>
    </xdr:sp>
    <xdr:clientData/>
  </xdr:twoCellAnchor>
  <xdr:twoCellAnchor editAs="oneCell">
    <xdr:from>
      <xdr:col>1</xdr:col>
      <xdr:colOff>6743</xdr:colOff>
      <xdr:row>35</xdr:row>
      <xdr:rowOff>80921</xdr:rowOff>
    </xdr:from>
    <xdr:to>
      <xdr:col>2</xdr:col>
      <xdr:colOff>33717</xdr:colOff>
      <xdr:row>36</xdr:row>
      <xdr:rowOff>168620</xdr:rowOff>
    </xdr:to>
    <xdr:pic>
      <xdr:nvPicPr>
        <xdr:cNvPr id="36" name="Graphic 35" descr="Star-struck face outline with solid fill">
          <a:extLst>
            <a:ext uri="{FF2B5EF4-FFF2-40B4-BE49-F238E27FC236}">
              <a16:creationId xmlns:a16="http://schemas.microsoft.com/office/drawing/2014/main" id="{3B3E076F-CDAE-48C1-AEB0-3CCBBB9CD15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96708" y="6453399"/>
          <a:ext cx="276478" cy="269770"/>
        </a:xfrm>
        <a:prstGeom prst="rect">
          <a:avLst/>
        </a:prstGeom>
      </xdr:spPr>
    </xdr:pic>
    <xdr:clientData/>
  </xdr:twoCellAnchor>
  <xdr:twoCellAnchor>
    <xdr:from>
      <xdr:col>14</xdr:col>
      <xdr:colOff>283556</xdr:colOff>
      <xdr:row>4</xdr:row>
      <xdr:rowOff>93938</xdr:rowOff>
    </xdr:from>
    <xdr:to>
      <xdr:col>18</xdr:col>
      <xdr:colOff>234394</xdr:colOff>
      <xdr:row>19</xdr:row>
      <xdr:rowOff>81644</xdr:rowOff>
    </xdr:to>
    <xdr:graphicFrame macro="">
      <xdr:nvGraphicFramePr>
        <xdr:cNvPr id="39" name="Chart 38">
          <a:extLst>
            <a:ext uri="{FF2B5EF4-FFF2-40B4-BE49-F238E27FC236}">
              <a16:creationId xmlns:a16="http://schemas.microsoft.com/office/drawing/2014/main" id="{F3057A5A-3EB6-4D86-A1C3-27FFF5C7D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14</xdr:col>
      <xdr:colOff>646480</xdr:colOff>
      <xdr:row>25</xdr:row>
      <xdr:rowOff>174608</xdr:rowOff>
    </xdr:from>
    <xdr:to>
      <xdr:col>17</xdr:col>
      <xdr:colOff>447377</xdr:colOff>
      <xdr:row>37</xdr:row>
      <xdr:rowOff>1</xdr:rowOff>
    </xdr:to>
    <mc:AlternateContent xmlns:mc="http://schemas.openxmlformats.org/markup-compatibility/2006">
      <mc:Choice xmlns:a14="http://schemas.microsoft.com/office/drawing/2010/main" Requires="a14">
        <xdr:graphicFrame macro="">
          <xdr:nvGraphicFramePr>
            <xdr:cNvPr id="37" name="Representative">
              <a:extLst>
                <a:ext uri="{FF2B5EF4-FFF2-40B4-BE49-F238E27FC236}">
                  <a16:creationId xmlns:a16="http://schemas.microsoft.com/office/drawing/2014/main" id="{94AA5D3C-B4FA-4489-85C1-ADEA1FD8AD5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8824373" y="5045965"/>
              <a:ext cx="1801147" cy="1948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159773</xdr:colOff>
      <xdr:row>3</xdr:row>
      <xdr:rowOff>24578</xdr:rowOff>
    </xdr:from>
    <xdr:to>
      <xdr:col>14</xdr:col>
      <xdr:colOff>299357</xdr:colOff>
      <xdr:row>21</xdr:row>
      <xdr:rowOff>40820</xdr:rowOff>
    </xdr:to>
    <xdr:graphicFrame macro="">
      <xdr:nvGraphicFramePr>
        <xdr:cNvPr id="38" name="Chart 37">
          <a:extLst>
            <a:ext uri="{FF2B5EF4-FFF2-40B4-BE49-F238E27FC236}">
              <a16:creationId xmlns:a16="http://schemas.microsoft.com/office/drawing/2014/main" id="{69983AE4-3C51-4250-81B3-2E8C96AC6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166362</xdr:colOff>
      <xdr:row>22</xdr:row>
      <xdr:rowOff>0</xdr:rowOff>
    </xdr:from>
    <xdr:to>
      <xdr:col>14</xdr:col>
      <xdr:colOff>653144</xdr:colOff>
      <xdr:row>41</xdr:row>
      <xdr:rowOff>133048</xdr:rowOff>
    </xdr:to>
    <xdr:graphicFrame macro="">
      <xdr:nvGraphicFramePr>
        <xdr:cNvPr id="2" name="Chart 1">
          <a:extLst>
            <a:ext uri="{FF2B5EF4-FFF2-40B4-BE49-F238E27FC236}">
              <a16:creationId xmlns:a16="http://schemas.microsoft.com/office/drawing/2014/main" id="{010B4CDF-CDE3-42D8-ADC7-E78287DFD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133878</xdr:colOff>
      <xdr:row>21</xdr:row>
      <xdr:rowOff>172942</xdr:rowOff>
    </xdr:from>
    <xdr:to>
      <xdr:col>10</xdr:col>
      <xdr:colOff>163286</xdr:colOff>
      <xdr:row>41</xdr:row>
      <xdr:rowOff>133049</xdr:rowOff>
    </xdr:to>
    <xdr:graphicFrame macro="">
      <xdr:nvGraphicFramePr>
        <xdr:cNvPr id="3" name="Chart 2">
          <a:extLst>
            <a:ext uri="{FF2B5EF4-FFF2-40B4-BE49-F238E27FC236}">
              <a16:creationId xmlns:a16="http://schemas.microsoft.com/office/drawing/2014/main" id="{5D630ADC-0447-4257-879F-F48EC304A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129180</xdr:colOff>
      <xdr:row>4</xdr:row>
      <xdr:rowOff>118056</xdr:rowOff>
    </xdr:from>
    <xdr:to>
      <xdr:col>23</xdr:col>
      <xdr:colOff>397490</xdr:colOff>
      <xdr:row>20</xdr:row>
      <xdr:rowOff>3948</xdr:rowOff>
    </xdr:to>
    <xdr:graphicFrame macro="">
      <xdr:nvGraphicFramePr>
        <xdr:cNvPr id="5" name="Chart 4">
          <a:extLst>
            <a:ext uri="{FF2B5EF4-FFF2-40B4-BE49-F238E27FC236}">
              <a16:creationId xmlns:a16="http://schemas.microsoft.com/office/drawing/2014/main" id="{BD901EBD-E4B2-4D21-A11A-FFFB5BCB6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390015</xdr:colOff>
      <xdr:row>4</xdr:row>
      <xdr:rowOff>122463</xdr:rowOff>
    </xdr:from>
    <xdr:to>
      <xdr:col>28</xdr:col>
      <xdr:colOff>1169</xdr:colOff>
      <xdr:row>20</xdr:row>
      <xdr:rowOff>0</xdr:rowOff>
    </xdr:to>
    <xdr:graphicFrame macro="">
      <xdr:nvGraphicFramePr>
        <xdr:cNvPr id="16" name="Chart 15">
          <a:extLst>
            <a:ext uri="{FF2B5EF4-FFF2-40B4-BE49-F238E27FC236}">
              <a16:creationId xmlns:a16="http://schemas.microsoft.com/office/drawing/2014/main" id="{53752050-B334-4020-96CC-AD379115D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1.91038321759" backgroundQuery="1" createdVersion="8" refreshedVersion="8" minRefreshableVersion="3" recordCount="0" supportSubquery="1" supportAdvancedDrill="1" xr:uid="{ADD5A8EE-8AF2-4FA7-A27A-91C51DAD6725}">
  <cacheSource type="external" connectionId="1"/>
  <cacheFields count="5">
    <cacheField name="[Measures].[Call Count]" caption="Call Count" numFmtId="0" hierarchy="17" level="32767"/>
    <cacheField name="[Measures].[amount]" caption="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amount]" caption="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2.863774305559" backgroundQuery="1" createdVersion="8" refreshedVersion="8" minRefreshableVersion="3" recordCount="0" supportSubquery="1" supportAdvancedDrill="1" xr:uid="{B15E3BBA-6F5E-4E88-9B62-D32A15B3ABD1}">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amount]" caption="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amount]" caption="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2.974293402774" backgroundQuery="1" createdVersion="8" refreshedVersion="8" minRefreshableVersion="3" recordCount="0" supportSubquery="1" supportAdvancedDrill="1" xr:uid="{9327182E-449D-4E97-A312-A0F142322E61}">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amount]" caption="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3.050004745368" backgroundQuery="1" createdVersion="8" refreshedVersion="8" minRefreshableVersion="3" recordCount="0" supportSubquery="1" supportAdvancedDrill="1" xr:uid="{7440C2E6-E567-439A-BB0C-3B7525581997}">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amount]" caption="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amount]" caption="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52565462963" backgroundQuery="1" createdVersion="8" refreshedVersion="8" minRefreshableVersion="3" recordCount="0" supportSubquery="1" supportAdvancedDrill="1" xr:uid="{7643FF3B-C564-4579-9A55-84D29BBFF0DF}">
  <cacheSource type="external" connectionId="1"/>
  <cacheFields count="6">
    <cacheField name="[Measures].[Call Count]" caption="Call Count" numFmtId="0" hierarchy="17" level="32767"/>
    <cacheField name="[Measures].[amount]" caption="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amount]" caption="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525655092591" backgroundQuery="1" createdVersion="8" refreshedVersion="8" minRefreshableVersion="3" recordCount="0" supportSubquery="1" supportAdvancedDrill="1" xr:uid="{74CA15B4-D777-4EBC-9E3B-63152DA94D0B}">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amount]" caption="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525655671299" backgroundQuery="1" createdVersion="8" refreshedVersion="8" minRefreshableVersion="3" recordCount="0" supportSubquery="1" supportAdvancedDrill="1" xr:uid="{5278F798-1963-4BAB-B3BC-23DFBE0CDCAF}">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amount]" caption="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525656018515" backgroundQuery="1" createdVersion="8" refreshedVersion="8" minRefreshableVersion="3" recordCount="0" supportSubquery="1" supportAdvancedDrill="1" xr:uid="{69137DDA-013B-43FE-B855-0CD9E2FEFC3B}">
  <cacheSource type="external" connectionId="1"/>
  <cacheFields count="1">
    <cacheField name="[calls].[Representative].[Representative]" caption="Representative" numFmtId="0" hierarchy="3" level="1">
      <sharedItems count="1">
        <s v="R02"/>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amount]" caption="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4.525656481484" backgroundQuery="1" createdVersion="8" refreshedVersion="8" minRefreshableVersion="3" recordCount="0" supportSubquery="1" supportAdvancedDrill="1" xr:uid="{9FB4B5CB-463C-4889-88A9-428DC5338973}">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amount]" caption="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71.910375347223" backgroundQuery="1" createdVersion="3" refreshedVersion="8" minRefreshableVersion="3" recordCount="0" supportSubquery="1" supportAdvancedDrill="1" xr:uid="{75A3FFBA-3D60-4339-B21E-1421311358B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amount]" caption="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49804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881F0-D5BF-473E-B9B7-0A31A3CCB22C}" name="rep satisfaction" cacheId="2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51:B5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579C54-B116-4671-B41B-3E56568C6BED}" name="weekly trend" cacheId="2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F14:G2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8A5A50-77CC-4006-BC09-D5C5D4DD4514}"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41:D4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7B8802-A4BD-4334-9C91-6DA921407AAE}" name="monthly trend" cacheId="2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4:C2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97450E-FECA-4789-A957-C666CD0146B3}" name="rep pivot" cacheId="2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AAA182-F03B-4A7F-A97B-E12CDDF2E53F}" name="selected rep" cacheId="2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59:B6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6">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B34E92-C3E0-48E7-8DA0-0102A7B6A213}"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C3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284213-6623-42D3-A06A-703B04B6BDDF}" name="summary tab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C2A23E-F314-458E-9EB7-686E14B7284F}" name="rep amounts" cacheId="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0">
  <location ref="A65:G8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A person in a suit and tie
Description automatically generated</v>
  </rv>
  <rv s="0">
    <v>1</v>
    <v>5</v>
    <v>A person in a skirt and a cardigan
Description automatically generated</v>
  </rv>
  <rv s="0">
    <v>0</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815EEEC-4F50-4127-BCD6-E267D1E39DE3}" sourceName="[calls].[Representative]">
  <pivotTables>
    <pivotTable tabId="6" name="rep pivot"/>
    <pivotTable tabId="6" name="monthly trend"/>
    <pivotTable tabId="6" name="weekly trend"/>
    <pivotTable tabId="6" name="selected rep"/>
    <pivotTable tabId="6" name="rep satisfaction"/>
  </pivotTables>
  <data>
    <olap pivotCacheId="59498042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60641B9-0A35-4766-BDA8-0EE4E5D0C86B}" cache="Slicer_Representative" caption="Representative" level="1" style="SlicerStyleDark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5"/>
    <tableColumn id="5" xr3:uid="{5A35565E-8707-4DED-AD15-A0669D67B382}" name="Date of Call" dataDxfId="24"/>
    <tableColumn id="6" xr3:uid="{F2E4F158-B41F-47BC-8DF8-DFCADFEE4E40}" name="Purchase Amount"/>
    <tableColumn id="7" xr3:uid="{04B291B5-47BD-4F78-8FD8-D1551CCA6BD9}" name="Satisfaction Rating"/>
    <tableColumn id="8" xr3:uid="{6E4123C0-0B17-43B8-A142-A1E540CE974C}" name="FY" dataDxfId="23">
      <calculatedColumnFormula>IF(MONTH(calls[[#This Row],[Date of Call]])&lt;=6, YEAR(calls[[#This Row],[Date of Call]]), YEAR(calls[[#This Row],[Date of Call]])+1)</calculatedColumnFormula>
    </tableColumn>
    <tableColumn id="9" xr3:uid="{199FA271-5E9B-46CE-9BC6-2801F92CD17E}" name="Day of week" dataDxfId="22">
      <calculatedColumnFormula>TEXT(calls[[#This Row],[Date of Call]],"DDDD")</calculatedColumnFormula>
    </tableColumn>
    <tableColumn id="10" xr3:uid="{328CDB09-95B8-4D5E-9ED9-EF0D363735A1}" name="Duration Bucket" dataDxfId="2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9" headerRowBorderDxfId="18" tableBorderDxfId="17" totalsRowBorderDxfId="16">
  <autoFilter ref="Q3:T18" xr:uid="{27158F51-A707-4171-8A04-81FB0AABCBA5}"/>
  <tableColumns count="4">
    <tableColumn id="1" xr3:uid="{02688061-6A8C-4E23-B7FF-D00CD8B58CAC}" name="Customer ID" dataDxfId="15"/>
    <tableColumn id="2" xr3:uid="{771678B6-DB44-426B-9874-B4E421A440D5}" name="Gedner" dataDxfId="14"/>
    <tableColumn id="3" xr3:uid="{B0D41C62-587E-494D-B49A-603F2C05F8D3}" name="Age" dataDxfId="13"/>
    <tableColumn id="4" xr3:uid="{663F92D6-FE31-4D81-9E01-8D066DDC8A88}" name="City" dataDxfId="1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9E256-7852-4607-92FD-1A0614252484}">
  <dimension ref="A3:L84"/>
  <sheetViews>
    <sheetView topLeftCell="A43" workbookViewId="0">
      <selection activeCell="L61" sqref="L61"/>
    </sheetView>
  </sheetViews>
  <sheetFormatPr defaultRowHeight="14.4" x14ac:dyDescent="0.3"/>
  <cols>
    <col min="1" max="1" width="12.19921875" bestFit="1" customWidth="1"/>
    <col min="2" max="2" width="9.5" bestFit="1" customWidth="1"/>
    <col min="3" max="3" width="10.5" bestFit="1" customWidth="1"/>
    <col min="4" max="4" width="9.296875" bestFit="1" customWidth="1"/>
    <col min="5" max="5" width="6.8984375" bestFit="1" customWidth="1"/>
    <col min="6" max="6" width="12.19921875" bestFit="1" customWidth="1"/>
    <col min="7" max="7" width="9.5" bestFit="1" customWidth="1"/>
    <col min="8" max="8" width="12.09765625" bestFit="1" customWidth="1"/>
  </cols>
  <sheetData>
    <row r="3" spans="1:7" x14ac:dyDescent="0.3">
      <c r="A3" t="s">
        <v>1042</v>
      </c>
      <c r="B3" t="s">
        <v>1043</v>
      </c>
      <c r="C3" t="s">
        <v>1044</v>
      </c>
      <c r="D3" t="s">
        <v>1045</v>
      </c>
      <c r="E3" t="s">
        <v>1046</v>
      </c>
    </row>
    <row r="4" spans="1:7" x14ac:dyDescent="0.3">
      <c r="A4" s="23">
        <v>1000</v>
      </c>
      <c r="B4" s="22">
        <v>96623</v>
      </c>
      <c r="C4" s="23">
        <v>89850</v>
      </c>
      <c r="D4" s="24">
        <v>3.8854000000000033</v>
      </c>
      <c r="E4" s="21">
        <v>307</v>
      </c>
    </row>
    <row r="9" spans="1:7" x14ac:dyDescent="0.3">
      <c r="A9" t="s">
        <v>1042</v>
      </c>
      <c r="B9" t="s">
        <v>1043</v>
      </c>
      <c r="C9" t="s">
        <v>1044</v>
      </c>
      <c r="D9" t="s">
        <v>1045</v>
      </c>
      <c r="E9" t="s">
        <v>1046</v>
      </c>
    </row>
    <row r="10" spans="1:7" x14ac:dyDescent="0.3">
      <c r="A10" s="23">
        <v>218</v>
      </c>
      <c r="B10" s="31">
        <v>20581</v>
      </c>
      <c r="C10" s="23">
        <v>19300</v>
      </c>
      <c r="D10" s="24">
        <v>3.8706422018348627</v>
      </c>
      <c r="E10" s="21">
        <v>74</v>
      </c>
    </row>
    <row r="14" spans="1:7" x14ac:dyDescent="0.3">
      <c r="A14" s="25" t="s">
        <v>1047</v>
      </c>
      <c r="B14" t="s">
        <v>1042</v>
      </c>
      <c r="C14" t="s">
        <v>1061</v>
      </c>
      <c r="F14" s="25" t="s">
        <v>1047</v>
      </c>
      <c r="G14" t="s">
        <v>1042</v>
      </c>
    </row>
    <row r="15" spans="1:7" x14ac:dyDescent="0.3">
      <c r="A15" s="26" t="s">
        <v>1049</v>
      </c>
      <c r="B15" s="23">
        <v>19</v>
      </c>
      <c r="C15" s="23">
        <v>19</v>
      </c>
      <c r="F15" s="26" t="s">
        <v>1065</v>
      </c>
      <c r="G15" s="23">
        <v>28</v>
      </c>
    </row>
    <row r="16" spans="1:7" x14ac:dyDescent="0.3">
      <c r="A16" s="26" t="s">
        <v>1050</v>
      </c>
      <c r="B16" s="23">
        <v>10</v>
      </c>
      <c r="C16" s="23">
        <v>10</v>
      </c>
      <c r="F16" s="26" t="s">
        <v>1063</v>
      </c>
      <c r="G16" s="23">
        <v>24</v>
      </c>
    </row>
    <row r="17" spans="1:10" x14ac:dyDescent="0.3">
      <c r="A17" s="26" t="s">
        <v>1051</v>
      </c>
      <c r="B17" s="23">
        <v>40</v>
      </c>
      <c r="C17" s="23">
        <v>40</v>
      </c>
      <c r="F17" s="26" t="s">
        <v>1067</v>
      </c>
      <c r="G17" s="23">
        <v>44</v>
      </c>
    </row>
    <row r="18" spans="1:10" x14ac:dyDescent="0.3">
      <c r="A18" s="26" t="s">
        <v>1052</v>
      </c>
      <c r="B18" s="23">
        <v>40</v>
      </c>
      <c r="C18" s="23">
        <v>40</v>
      </c>
      <c r="F18" s="26" t="s">
        <v>1068</v>
      </c>
      <c r="G18" s="23">
        <v>36</v>
      </c>
    </row>
    <row r="19" spans="1:10" x14ac:dyDescent="0.3">
      <c r="A19" s="26" t="s">
        <v>1053</v>
      </c>
      <c r="B19" s="23">
        <v>13</v>
      </c>
      <c r="C19" s="23">
        <v>13</v>
      </c>
      <c r="F19" s="26" t="s">
        <v>1066</v>
      </c>
      <c r="G19" s="23">
        <v>33</v>
      </c>
    </row>
    <row r="20" spans="1:10" x14ac:dyDescent="0.3">
      <c r="A20" s="26" t="s">
        <v>1054</v>
      </c>
      <c r="B20" s="23">
        <v>12</v>
      </c>
      <c r="C20" s="23">
        <v>12</v>
      </c>
      <c r="F20" s="26" t="s">
        <v>1062</v>
      </c>
      <c r="G20" s="23">
        <v>29</v>
      </c>
    </row>
    <row r="21" spans="1:10" x14ac:dyDescent="0.3">
      <c r="A21" s="26" t="s">
        <v>1055</v>
      </c>
      <c r="B21" s="23">
        <v>9</v>
      </c>
      <c r="C21" s="23">
        <v>9</v>
      </c>
      <c r="F21" s="26" t="s">
        <v>1064</v>
      </c>
      <c r="G21" s="23">
        <v>24</v>
      </c>
    </row>
    <row r="22" spans="1:10" x14ac:dyDescent="0.3">
      <c r="A22" s="26" t="s">
        <v>1056</v>
      </c>
      <c r="B22" s="23">
        <v>13</v>
      </c>
      <c r="C22" s="23">
        <v>13</v>
      </c>
      <c r="F22" s="26" t="s">
        <v>1048</v>
      </c>
      <c r="G22" s="23">
        <v>218</v>
      </c>
    </row>
    <row r="23" spans="1:10" x14ac:dyDescent="0.3">
      <c r="A23" s="26" t="s">
        <v>1057</v>
      </c>
      <c r="B23" s="23">
        <v>18</v>
      </c>
      <c r="C23" s="23">
        <v>18</v>
      </c>
    </row>
    <row r="24" spans="1:10" x14ac:dyDescent="0.3">
      <c r="A24" s="26" t="s">
        <v>1058</v>
      </c>
      <c r="B24" s="23">
        <v>21</v>
      </c>
      <c r="C24" s="23">
        <v>21</v>
      </c>
    </row>
    <row r="25" spans="1:10" x14ac:dyDescent="0.3">
      <c r="A25" s="26" t="s">
        <v>1059</v>
      </c>
      <c r="B25" s="23">
        <v>14</v>
      </c>
      <c r="C25" s="23">
        <v>14</v>
      </c>
    </row>
    <row r="26" spans="1:10" x14ac:dyDescent="0.3">
      <c r="A26" s="26" t="s">
        <v>1060</v>
      </c>
      <c r="B26" s="23">
        <v>9</v>
      </c>
      <c r="C26" s="23">
        <v>9</v>
      </c>
    </row>
    <row r="27" spans="1:10" x14ac:dyDescent="0.3">
      <c r="A27" s="26" t="s">
        <v>1048</v>
      </c>
      <c r="B27" s="23">
        <v>218</v>
      </c>
      <c r="C27" s="23">
        <v>218</v>
      </c>
    </row>
    <row r="29" spans="1:10" x14ac:dyDescent="0.3">
      <c r="F29" t="s">
        <v>1073</v>
      </c>
      <c r="G29" t="str">
        <f>B60</f>
        <v>R02</v>
      </c>
    </row>
    <row r="31" spans="1:10" x14ac:dyDescent="0.3">
      <c r="A31" s="25" t="s">
        <v>1047</v>
      </c>
      <c r="B31" t="s">
        <v>1042</v>
      </c>
      <c r="C31" t="s">
        <v>1043</v>
      </c>
      <c r="F31" t="s">
        <v>1069</v>
      </c>
      <c r="G31" t="s">
        <v>1070</v>
      </c>
      <c r="H31" t="s">
        <v>1043</v>
      </c>
      <c r="I31" t="s">
        <v>1071</v>
      </c>
      <c r="J31" t="s">
        <v>1072</v>
      </c>
    </row>
    <row r="32" spans="1:10" x14ac:dyDescent="0.3">
      <c r="A32" s="26" t="s">
        <v>11</v>
      </c>
      <c r="B32" s="23">
        <v>189</v>
      </c>
      <c r="C32" s="27">
        <v>18415</v>
      </c>
      <c r="F32" s="26" t="s">
        <v>11</v>
      </c>
      <c r="G32" s="23">
        <v>189</v>
      </c>
      <c r="H32" s="27">
        <v>18415</v>
      </c>
      <c r="I32" t="e">
        <f>IF(F32=$G$29,G32,NA())</f>
        <v>#N/A</v>
      </c>
      <c r="J32" t="e">
        <f>IF(F32=$G$29,H32,NA())</f>
        <v>#N/A</v>
      </c>
    </row>
    <row r="33" spans="1:10" x14ac:dyDescent="0.3">
      <c r="A33" s="26" t="s">
        <v>9</v>
      </c>
      <c r="B33" s="23">
        <v>218</v>
      </c>
      <c r="C33" s="27">
        <v>20581</v>
      </c>
      <c r="F33" s="26" t="s">
        <v>9</v>
      </c>
      <c r="G33" s="23">
        <v>218</v>
      </c>
      <c r="H33" s="27">
        <v>20581</v>
      </c>
      <c r="I33">
        <f t="shared" ref="I33:I36" si="0">IF(F33=$G$29,G33,NA())</f>
        <v>218</v>
      </c>
      <c r="J33">
        <f t="shared" ref="J33:J36" si="1">IF(F33=$G$29,H33,NA())</f>
        <v>20581</v>
      </c>
    </row>
    <row r="34" spans="1:10" x14ac:dyDescent="0.3">
      <c r="A34" s="26" t="s">
        <v>6</v>
      </c>
      <c r="B34" s="23">
        <v>207</v>
      </c>
      <c r="C34" s="27">
        <v>20872</v>
      </c>
      <c r="F34" s="26" t="s">
        <v>6</v>
      </c>
      <c r="G34" s="23">
        <v>207</v>
      </c>
      <c r="H34" s="27">
        <v>20872</v>
      </c>
      <c r="I34" t="e">
        <f t="shared" si="0"/>
        <v>#N/A</v>
      </c>
      <c r="J34" t="e">
        <f t="shared" si="1"/>
        <v>#N/A</v>
      </c>
    </row>
    <row r="35" spans="1:10" x14ac:dyDescent="0.3">
      <c r="A35" s="26" t="s">
        <v>13</v>
      </c>
      <c r="B35" s="23">
        <v>186</v>
      </c>
      <c r="C35" s="27">
        <v>16651</v>
      </c>
      <c r="F35" s="26" t="s">
        <v>13</v>
      </c>
      <c r="G35" s="23">
        <v>186</v>
      </c>
      <c r="H35" s="27">
        <v>16651</v>
      </c>
      <c r="I35" t="e">
        <f t="shared" si="0"/>
        <v>#N/A</v>
      </c>
      <c r="J35" t="e">
        <f t="shared" si="1"/>
        <v>#N/A</v>
      </c>
    </row>
    <row r="36" spans="1:10" x14ac:dyDescent="0.3">
      <c r="A36" s="26" t="s">
        <v>10</v>
      </c>
      <c r="B36" s="23">
        <v>200</v>
      </c>
      <c r="C36" s="27">
        <v>20104</v>
      </c>
      <c r="F36" s="26" t="s">
        <v>10</v>
      </c>
      <c r="G36" s="23">
        <v>200</v>
      </c>
      <c r="H36" s="27">
        <v>20104</v>
      </c>
      <c r="I36" t="e">
        <f t="shared" si="0"/>
        <v>#N/A</v>
      </c>
      <c r="J36" t="e">
        <f t="shared" si="1"/>
        <v>#N/A</v>
      </c>
    </row>
    <row r="37" spans="1:10" x14ac:dyDescent="0.3">
      <c r="A37" s="26" t="s">
        <v>1048</v>
      </c>
      <c r="B37" s="23">
        <v>1000</v>
      </c>
      <c r="C37" s="27">
        <v>96623</v>
      </c>
    </row>
    <row r="41" spans="1:10" x14ac:dyDescent="0.3">
      <c r="A41" s="25" t="s">
        <v>1042</v>
      </c>
      <c r="B41" s="25" t="s">
        <v>1074</v>
      </c>
    </row>
    <row r="42" spans="1:10" x14ac:dyDescent="0.3">
      <c r="A42" s="25" t="s">
        <v>1047</v>
      </c>
      <c r="B42" t="s">
        <v>999</v>
      </c>
      <c r="C42" t="s">
        <v>998</v>
      </c>
      <c r="D42" t="s">
        <v>1048</v>
      </c>
    </row>
    <row r="43" spans="1:10" x14ac:dyDescent="0.3">
      <c r="A43" s="26" t="s">
        <v>1002</v>
      </c>
      <c r="B43" s="23">
        <v>144</v>
      </c>
      <c r="C43" s="23">
        <v>132</v>
      </c>
      <c r="D43" s="23">
        <v>276</v>
      </c>
    </row>
    <row r="44" spans="1:10" x14ac:dyDescent="0.3">
      <c r="A44" s="26" t="s">
        <v>1001</v>
      </c>
      <c r="B44" s="23">
        <v>326</v>
      </c>
      <c r="C44" s="23">
        <v>63</v>
      </c>
      <c r="D44" s="23">
        <v>389</v>
      </c>
    </row>
    <row r="45" spans="1:10" x14ac:dyDescent="0.3">
      <c r="A45" s="26" t="s">
        <v>1000</v>
      </c>
      <c r="B45" s="23">
        <v>129</v>
      </c>
      <c r="C45" s="23">
        <v>206</v>
      </c>
      <c r="D45" s="23">
        <v>335</v>
      </c>
    </row>
    <row r="46" spans="1:10" x14ac:dyDescent="0.3">
      <c r="A46" s="26" t="s">
        <v>1048</v>
      </c>
      <c r="B46" s="23">
        <v>599</v>
      </c>
      <c r="C46" s="23">
        <v>401</v>
      </c>
      <c r="D46" s="23">
        <v>1000</v>
      </c>
    </row>
    <row r="51" spans="1:12" x14ac:dyDescent="0.3">
      <c r="A51" s="25" t="s">
        <v>1047</v>
      </c>
      <c r="B51" t="s">
        <v>1042</v>
      </c>
    </row>
    <row r="52" spans="1:12" x14ac:dyDescent="0.3">
      <c r="A52" s="26">
        <v>1</v>
      </c>
      <c r="B52" s="23">
        <v>3</v>
      </c>
    </row>
    <row r="53" spans="1:12" x14ac:dyDescent="0.3">
      <c r="A53" s="26">
        <v>2</v>
      </c>
      <c r="B53" s="23">
        <v>19</v>
      </c>
    </row>
    <row r="54" spans="1:12" x14ac:dyDescent="0.3">
      <c r="A54" s="26">
        <v>3</v>
      </c>
      <c r="B54" s="23">
        <v>35</v>
      </c>
    </row>
    <row r="55" spans="1:12" x14ac:dyDescent="0.3">
      <c r="A55" s="26">
        <v>4</v>
      </c>
      <c r="B55" s="23">
        <v>87</v>
      </c>
      <c r="G55" t="s">
        <v>1076</v>
      </c>
    </row>
    <row r="56" spans="1:12" x14ac:dyDescent="0.3">
      <c r="A56" s="26">
        <v>5</v>
      </c>
      <c r="B56" s="23">
        <v>74</v>
      </c>
      <c r="G56" t="s">
        <v>1077</v>
      </c>
      <c r="H56" s="48">
        <f>A10/A4</f>
        <v>0.218</v>
      </c>
    </row>
    <row r="57" spans="1:12" x14ac:dyDescent="0.3">
      <c r="A57" s="26" t="s">
        <v>1048</v>
      </c>
      <c r="B57" s="23">
        <v>218</v>
      </c>
      <c r="G57" t="s">
        <v>1070</v>
      </c>
      <c r="H57" s="49">
        <f>A10</f>
        <v>218</v>
      </c>
    </row>
    <row r="58" spans="1:12" x14ac:dyDescent="0.3">
      <c r="G58" t="s">
        <v>1043</v>
      </c>
      <c r="H58" s="50">
        <f>B10</f>
        <v>20581</v>
      </c>
    </row>
    <row r="59" spans="1:12" x14ac:dyDescent="0.3">
      <c r="B59" s="25" t="s">
        <v>1047</v>
      </c>
      <c r="G59" t="s">
        <v>1078</v>
      </c>
      <c r="H59">
        <f>_xlfn.RANK.AVG(H57,G32:G36)</f>
        <v>1</v>
      </c>
      <c r="J59" t="s">
        <v>1080</v>
      </c>
      <c r="L59" t="s">
        <v>1081</v>
      </c>
    </row>
    <row r="60" spans="1:12" x14ac:dyDescent="0.3">
      <c r="B60" s="28" t="s">
        <v>9</v>
      </c>
      <c r="G60" t="s">
        <v>1079</v>
      </c>
      <c r="H60">
        <f>_xlfn.RANK.AVG(H58,H32:H36)</f>
        <v>2</v>
      </c>
      <c r="J60" t="str">
        <f>"% of calls:"&amp;TEXT(H56,"0%")</f>
        <v>% of calls:22%</v>
      </c>
      <c r="L60" t="e" vm="1">
        <f>IF(COUNTA(B60:B64)&gt;1,"",_xlfn.XLOOKUP(B60,Assets!E3:E7,Assets!F3:F7))</f>
        <v>#VALUE!</v>
      </c>
    </row>
    <row r="61" spans="1:12" x14ac:dyDescent="0.3">
      <c r="J61" t="str">
        <f>IF(COUNTA(B60:B64)&gt;1,"","Call Rank:"&amp;H59)</f>
        <v>Call Rank:1</v>
      </c>
    </row>
    <row r="62" spans="1:12" x14ac:dyDescent="0.3">
      <c r="J62" t="str">
        <f>IF(COUNTA(B60:B64)&gt;1,"","Amount rank:"&amp;H60)</f>
        <v>Amount rank:2</v>
      </c>
    </row>
    <row r="65" spans="1:7" x14ac:dyDescent="0.3">
      <c r="A65" s="25" t="s">
        <v>1043</v>
      </c>
      <c r="B65" s="25" t="s">
        <v>1074</v>
      </c>
    </row>
    <row r="66" spans="1:7" x14ac:dyDescent="0.3">
      <c r="A66" s="25" t="s">
        <v>1047</v>
      </c>
      <c r="B66" t="s">
        <v>11</v>
      </c>
      <c r="C66" t="s">
        <v>9</v>
      </c>
      <c r="D66" t="s">
        <v>6</v>
      </c>
      <c r="E66" t="s">
        <v>13</v>
      </c>
      <c r="F66" t="s">
        <v>10</v>
      </c>
      <c r="G66" t="s">
        <v>1048</v>
      </c>
    </row>
    <row r="67" spans="1:7" x14ac:dyDescent="0.3">
      <c r="A67" s="26" t="s">
        <v>1002</v>
      </c>
      <c r="B67" s="29"/>
      <c r="C67" s="29"/>
      <c r="D67" s="29"/>
      <c r="E67" s="29"/>
      <c r="F67" s="29"/>
      <c r="G67" s="29"/>
    </row>
    <row r="68" spans="1:7" x14ac:dyDescent="0.3">
      <c r="A68" s="30" t="s">
        <v>20</v>
      </c>
      <c r="B68" s="27">
        <v>891</v>
      </c>
      <c r="C68" s="27">
        <v>1332</v>
      </c>
      <c r="D68" s="27">
        <v>1282</v>
      </c>
      <c r="E68" s="27">
        <v>739</v>
      </c>
      <c r="F68" s="27">
        <v>560</v>
      </c>
      <c r="G68" s="27">
        <v>4804</v>
      </c>
    </row>
    <row r="69" spans="1:7" x14ac:dyDescent="0.3">
      <c r="A69" s="30" t="s">
        <v>12</v>
      </c>
      <c r="B69" s="27">
        <v>1991</v>
      </c>
      <c r="C69" s="27">
        <v>1886</v>
      </c>
      <c r="D69" s="27">
        <v>1206</v>
      </c>
      <c r="E69" s="27">
        <v>884</v>
      </c>
      <c r="F69" s="27">
        <v>1722</v>
      </c>
      <c r="G69" s="27">
        <v>7689</v>
      </c>
    </row>
    <row r="70" spans="1:7" x14ac:dyDescent="0.3">
      <c r="A70" s="30" t="s">
        <v>8</v>
      </c>
      <c r="B70" s="27">
        <v>1163</v>
      </c>
      <c r="C70" s="27">
        <v>1180</v>
      </c>
      <c r="D70" s="27">
        <v>1616</v>
      </c>
      <c r="E70" s="27">
        <v>1043</v>
      </c>
      <c r="F70" s="27">
        <v>1747</v>
      </c>
      <c r="G70" s="27">
        <v>6749</v>
      </c>
    </row>
    <row r="71" spans="1:7" x14ac:dyDescent="0.3">
      <c r="A71" s="30" t="s">
        <v>16</v>
      </c>
      <c r="B71" s="27">
        <v>1438</v>
      </c>
      <c r="C71" s="27">
        <v>1616</v>
      </c>
      <c r="D71" s="27">
        <v>866</v>
      </c>
      <c r="E71" s="27">
        <v>829</v>
      </c>
      <c r="F71" s="27">
        <v>2070</v>
      </c>
      <c r="G71" s="27">
        <v>6819</v>
      </c>
    </row>
    <row r="72" spans="1:7" x14ac:dyDescent="0.3">
      <c r="A72" s="26" t="s">
        <v>1001</v>
      </c>
      <c r="B72" s="29"/>
      <c r="C72" s="29"/>
      <c r="D72" s="29"/>
      <c r="E72" s="29"/>
      <c r="F72" s="29"/>
      <c r="G72" s="29"/>
    </row>
    <row r="73" spans="1:7" x14ac:dyDescent="0.3">
      <c r="A73" s="30" t="s">
        <v>24</v>
      </c>
      <c r="B73" s="27">
        <v>1233</v>
      </c>
      <c r="C73" s="27">
        <v>223</v>
      </c>
      <c r="D73" s="27">
        <v>1680</v>
      </c>
      <c r="E73" s="27">
        <v>990</v>
      </c>
      <c r="F73" s="27">
        <v>1508</v>
      </c>
      <c r="G73" s="27">
        <v>5634</v>
      </c>
    </row>
    <row r="74" spans="1:7" x14ac:dyDescent="0.3">
      <c r="A74" s="30" t="s">
        <v>15</v>
      </c>
      <c r="B74" s="27">
        <v>1598</v>
      </c>
      <c r="C74" s="27">
        <v>1907</v>
      </c>
      <c r="D74" s="27">
        <v>869</v>
      </c>
      <c r="E74" s="27">
        <v>1426</v>
      </c>
      <c r="F74" s="27">
        <v>1416</v>
      </c>
      <c r="G74" s="27">
        <v>7216</v>
      </c>
    </row>
    <row r="75" spans="1:7" x14ac:dyDescent="0.3">
      <c r="A75" s="30" t="s">
        <v>5</v>
      </c>
      <c r="B75" s="27">
        <v>900</v>
      </c>
      <c r="C75" s="27">
        <v>1016</v>
      </c>
      <c r="D75" s="27">
        <v>960</v>
      </c>
      <c r="E75" s="27">
        <v>940</v>
      </c>
      <c r="F75" s="27">
        <v>1193</v>
      </c>
      <c r="G75" s="27">
        <v>5009</v>
      </c>
    </row>
    <row r="76" spans="1:7" x14ac:dyDescent="0.3">
      <c r="A76" s="30" t="s">
        <v>18</v>
      </c>
      <c r="B76" s="27">
        <v>900</v>
      </c>
      <c r="C76" s="27">
        <v>1470</v>
      </c>
      <c r="D76" s="27">
        <v>1617</v>
      </c>
      <c r="E76" s="27">
        <v>1314</v>
      </c>
      <c r="F76" s="27">
        <v>941</v>
      </c>
      <c r="G76" s="27">
        <v>6242</v>
      </c>
    </row>
    <row r="77" spans="1:7" x14ac:dyDescent="0.3">
      <c r="A77" s="30" t="s">
        <v>14</v>
      </c>
      <c r="B77" s="27">
        <v>1255</v>
      </c>
      <c r="C77" s="27">
        <v>516</v>
      </c>
      <c r="D77" s="27">
        <v>1874</v>
      </c>
      <c r="E77" s="27">
        <v>1863</v>
      </c>
      <c r="F77" s="27">
        <v>1722</v>
      </c>
      <c r="G77" s="27">
        <v>7230</v>
      </c>
    </row>
    <row r="78" spans="1:7" x14ac:dyDescent="0.3">
      <c r="A78" s="30" t="s">
        <v>19</v>
      </c>
      <c r="B78" s="27">
        <v>1138</v>
      </c>
      <c r="C78" s="27">
        <v>1898</v>
      </c>
      <c r="D78" s="27">
        <v>1482</v>
      </c>
      <c r="E78" s="27">
        <v>846</v>
      </c>
      <c r="F78" s="27">
        <v>1154</v>
      </c>
      <c r="G78" s="27">
        <v>6518</v>
      </c>
    </row>
    <row r="79" spans="1:7" x14ac:dyDescent="0.3">
      <c r="A79" s="26" t="s">
        <v>1000</v>
      </c>
      <c r="B79" s="29"/>
      <c r="C79" s="29"/>
      <c r="D79" s="29"/>
      <c r="E79" s="29"/>
      <c r="F79" s="29"/>
      <c r="G79" s="29"/>
    </row>
    <row r="80" spans="1:7" x14ac:dyDescent="0.3">
      <c r="A80" s="30" t="s">
        <v>17</v>
      </c>
      <c r="B80" s="27">
        <v>1655</v>
      </c>
      <c r="C80" s="27">
        <v>805</v>
      </c>
      <c r="D80" s="27">
        <v>2263</v>
      </c>
      <c r="E80" s="27">
        <v>987</v>
      </c>
      <c r="F80" s="27">
        <v>1075</v>
      </c>
      <c r="G80" s="27">
        <v>6785</v>
      </c>
    </row>
    <row r="81" spans="1:7" x14ac:dyDescent="0.3">
      <c r="A81" s="30" t="s">
        <v>23</v>
      </c>
      <c r="B81" s="27">
        <v>1104</v>
      </c>
      <c r="C81" s="27">
        <v>2280</v>
      </c>
      <c r="D81" s="27">
        <v>1445</v>
      </c>
      <c r="E81" s="27">
        <v>1722</v>
      </c>
      <c r="F81" s="27">
        <v>1196</v>
      </c>
      <c r="G81" s="27">
        <v>7747</v>
      </c>
    </row>
    <row r="82" spans="1:7" x14ac:dyDescent="0.3">
      <c r="A82" s="30" t="s">
        <v>7</v>
      </c>
      <c r="B82" s="27">
        <v>372</v>
      </c>
      <c r="C82" s="27">
        <v>1818</v>
      </c>
      <c r="D82" s="27">
        <v>1346</v>
      </c>
      <c r="E82" s="27">
        <v>1156</v>
      </c>
      <c r="F82" s="27">
        <v>1484</v>
      </c>
      <c r="G82" s="27">
        <v>6176</v>
      </c>
    </row>
    <row r="83" spans="1:7" x14ac:dyDescent="0.3">
      <c r="A83" s="30" t="s">
        <v>22</v>
      </c>
      <c r="B83" s="27">
        <v>1415</v>
      </c>
      <c r="C83" s="27">
        <v>1271</v>
      </c>
      <c r="D83" s="27">
        <v>1214</v>
      </c>
      <c r="E83" s="27">
        <v>1135</v>
      </c>
      <c r="F83" s="27">
        <v>1566</v>
      </c>
      <c r="G83" s="27">
        <v>6601</v>
      </c>
    </row>
    <row r="84" spans="1:7" x14ac:dyDescent="0.3">
      <c r="A84" s="30" t="s">
        <v>21</v>
      </c>
      <c r="B84" s="27">
        <v>1362</v>
      </c>
      <c r="C84" s="27">
        <v>1363</v>
      </c>
      <c r="D84" s="27">
        <v>1152</v>
      </c>
      <c r="E84" s="27">
        <v>777</v>
      </c>
      <c r="F84" s="27">
        <v>750</v>
      </c>
      <c r="G84" s="27">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573DE-E58D-4DCE-8FB2-8CEB7A3A1362}">
  <dimension ref="B1:AB42"/>
  <sheetViews>
    <sheetView tabSelected="1" zoomScale="56" zoomScaleNormal="130" workbookViewId="0">
      <selection activeCell="M2" sqref="M2"/>
    </sheetView>
  </sheetViews>
  <sheetFormatPr defaultRowHeight="14.4" x14ac:dyDescent="0.3"/>
  <cols>
    <col min="1" max="1" width="3.796875" style="20" customWidth="1"/>
    <col min="2" max="2" width="3.296875" style="20" customWidth="1"/>
    <col min="3" max="4" width="8.796875" style="20"/>
    <col min="5" max="5" width="4.09765625" style="20" customWidth="1"/>
    <col min="6" max="18" width="8.796875" style="20"/>
    <col min="19" max="19" width="6.09765625" style="20" customWidth="1"/>
    <col min="20" max="20" width="14.19921875" style="20" customWidth="1"/>
    <col min="21" max="16384" width="8.796875" style="20"/>
  </cols>
  <sheetData>
    <row r="1" spans="2:2" ht="49.2" customHeight="1" x14ac:dyDescent="0.7">
      <c r="B1" s="53" t="s">
        <v>1082</v>
      </c>
    </row>
    <row r="23" spans="19:28" x14ac:dyDescent="0.3">
      <c r="V23" s="33"/>
      <c r="W23" s="34"/>
      <c r="X23" s="34"/>
      <c r="Y23" s="34"/>
      <c r="Z23" s="34"/>
      <c r="AA23" s="34"/>
      <c r="AB23" s="35"/>
    </row>
    <row r="24" spans="19:28" x14ac:dyDescent="0.3">
      <c r="V24" s="36"/>
      <c r="W24" s="45" t="str" cm="1">
        <f t="array" ref="W24:AA24">pivots!B66:F66</f>
        <v>R01</v>
      </c>
      <c r="X24" s="45" t="str">
        <v>R02</v>
      </c>
      <c r="Y24" s="45" t="str">
        <v>R03</v>
      </c>
      <c r="Z24" s="45" t="str">
        <v>R04</v>
      </c>
      <c r="AA24" s="45" t="str">
        <v>R05</v>
      </c>
      <c r="AB24" s="46" t="s">
        <v>1075</v>
      </c>
    </row>
    <row r="25" spans="19:28" x14ac:dyDescent="0.3">
      <c r="V25" s="47" t="str" cm="1">
        <f t="array" ref="V25:AB42">IF(pivots!A67:G84="","",pivots!A67:G84)</f>
        <v>Cincinnati</v>
      </c>
      <c r="W25" s="38" t="str">
        <v/>
      </c>
      <c r="X25" s="38" t="str">
        <v/>
      </c>
      <c r="Y25" s="38" t="str">
        <v/>
      </c>
      <c r="Z25" s="38" t="str">
        <v/>
      </c>
      <c r="AA25" s="38" t="str">
        <v/>
      </c>
      <c r="AB25" s="37" t="str">
        <v/>
      </c>
    </row>
    <row r="26" spans="19:28" x14ac:dyDescent="0.3">
      <c r="V26" s="39" t="str">
        <v>C0003</v>
      </c>
      <c r="W26" s="40">
        <v>891</v>
      </c>
      <c r="X26" s="40">
        <v>1332</v>
      </c>
      <c r="Y26" s="40">
        <v>1282</v>
      </c>
      <c r="Z26" s="40">
        <v>739</v>
      </c>
      <c r="AA26" s="40">
        <v>560</v>
      </c>
      <c r="AB26" s="41">
        <v>4804</v>
      </c>
    </row>
    <row r="27" spans="19:28" x14ac:dyDescent="0.3">
      <c r="V27" s="39" t="str">
        <v>C0004</v>
      </c>
      <c r="W27" s="40">
        <v>1991</v>
      </c>
      <c r="X27" s="40">
        <v>1886</v>
      </c>
      <c r="Y27" s="40">
        <v>1206</v>
      </c>
      <c r="Z27" s="40">
        <v>884</v>
      </c>
      <c r="AA27" s="40">
        <v>1722</v>
      </c>
      <c r="AB27" s="41">
        <v>7689</v>
      </c>
    </row>
    <row r="28" spans="19:28" x14ac:dyDescent="0.3">
      <c r="V28" s="39" t="str">
        <v>C0011</v>
      </c>
      <c r="W28" s="40">
        <v>1163</v>
      </c>
      <c r="X28" s="40">
        <v>1180</v>
      </c>
      <c r="Y28" s="40">
        <v>1616</v>
      </c>
      <c r="Z28" s="40">
        <v>1043</v>
      </c>
      <c r="AA28" s="40">
        <v>1747</v>
      </c>
      <c r="AB28" s="41">
        <v>6749</v>
      </c>
    </row>
    <row r="29" spans="19:28" x14ac:dyDescent="0.3">
      <c r="S29" s="51" t="e" vm="1">
        <f>pivots!L60</f>
        <v>#VALUE!</v>
      </c>
      <c r="T29" s="51"/>
      <c r="V29" s="39" t="str">
        <v>C0012</v>
      </c>
      <c r="W29" s="40">
        <v>1438</v>
      </c>
      <c r="X29" s="40">
        <v>1616</v>
      </c>
      <c r="Y29" s="40">
        <v>866</v>
      </c>
      <c r="Z29" s="40">
        <v>829</v>
      </c>
      <c r="AA29" s="40">
        <v>2070</v>
      </c>
      <c r="AB29" s="41">
        <v>6819</v>
      </c>
    </row>
    <row r="30" spans="19:28" x14ac:dyDescent="0.3">
      <c r="S30" s="51"/>
      <c r="T30" s="51"/>
      <c r="V30" s="47" t="str">
        <v>Cleveland</v>
      </c>
      <c r="W30" s="40" t="str">
        <v/>
      </c>
      <c r="X30" s="40" t="str">
        <v/>
      </c>
      <c r="Y30" s="40" t="str">
        <v/>
      </c>
      <c r="Z30" s="40" t="str">
        <v/>
      </c>
      <c r="AA30" s="40" t="str">
        <v/>
      </c>
      <c r="AB30" s="41" t="str">
        <v/>
      </c>
    </row>
    <row r="31" spans="19:28" x14ac:dyDescent="0.3">
      <c r="S31" s="51"/>
      <c r="T31" s="51"/>
      <c r="V31" s="39" t="str">
        <v>C0002</v>
      </c>
      <c r="W31" s="40">
        <v>1233</v>
      </c>
      <c r="X31" s="40">
        <v>223</v>
      </c>
      <c r="Y31" s="40">
        <v>1680</v>
      </c>
      <c r="Z31" s="40">
        <v>990</v>
      </c>
      <c r="AA31" s="40">
        <v>1508</v>
      </c>
      <c r="AB31" s="41">
        <v>5634</v>
      </c>
    </row>
    <row r="32" spans="19:28" x14ac:dyDescent="0.3">
      <c r="S32" s="51"/>
      <c r="T32" s="51"/>
      <c r="V32" s="39" t="str">
        <v>C0007</v>
      </c>
      <c r="W32" s="40">
        <v>1598</v>
      </c>
      <c r="X32" s="40">
        <v>1907</v>
      </c>
      <c r="Y32" s="40">
        <v>869</v>
      </c>
      <c r="Z32" s="40">
        <v>1426</v>
      </c>
      <c r="AA32" s="40">
        <v>1416</v>
      </c>
      <c r="AB32" s="41">
        <v>7216</v>
      </c>
    </row>
    <row r="33" spans="18:28" x14ac:dyDescent="0.3">
      <c r="S33" s="51"/>
      <c r="T33" s="51"/>
      <c r="V33" s="39" t="str">
        <v>C0008</v>
      </c>
      <c r="W33" s="40">
        <v>900</v>
      </c>
      <c r="X33" s="40">
        <v>1016</v>
      </c>
      <c r="Y33" s="40">
        <v>960</v>
      </c>
      <c r="Z33" s="40">
        <v>940</v>
      </c>
      <c r="AA33" s="40">
        <v>1193</v>
      </c>
      <c r="AB33" s="41">
        <v>5009</v>
      </c>
    </row>
    <row r="34" spans="18:28" x14ac:dyDescent="0.3">
      <c r="S34" s="51"/>
      <c r="T34" s="51"/>
      <c r="V34" s="39" t="str">
        <v>C0010</v>
      </c>
      <c r="W34" s="40">
        <v>900</v>
      </c>
      <c r="X34" s="40">
        <v>1470</v>
      </c>
      <c r="Y34" s="40">
        <v>1617</v>
      </c>
      <c r="Z34" s="40">
        <v>1314</v>
      </c>
      <c r="AA34" s="40">
        <v>941</v>
      </c>
      <c r="AB34" s="41">
        <v>6242</v>
      </c>
    </row>
    <row r="35" spans="18:28" x14ac:dyDescent="0.3">
      <c r="S35" s="51"/>
      <c r="T35" s="51"/>
      <c r="V35" s="39" t="str">
        <v>C0013</v>
      </c>
      <c r="W35" s="40">
        <v>1255</v>
      </c>
      <c r="X35" s="40">
        <v>516</v>
      </c>
      <c r="Y35" s="40">
        <v>1874</v>
      </c>
      <c r="Z35" s="40">
        <v>1863</v>
      </c>
      <c r="AA35" s="40">
        <v>1722</v>
      </c>
      <c r="AB35" s="41">
        <v>7230</v>
      </c>
    </row>
    <row r="36" spans="18:28" x14ac:dyDescent="0.3">
      <c r="S36" s="51"/>
      <c r="T36" s="51"/>
      <c r="V36" s="39" t="str">
        <v>C0015</v>
      </c>
      <c r="W36" s="40">
        <v>1138</v>
      </c>
      <c r="X36" s="40">
        <v>1898</v>
      </c>
      <c r="Y36" s="40">
        <v>1482</v>
      </c>
      <c r="Z36" s="40">
        <v>846</v>
      </c>
      <c r="AA36" s="40">
        <v>1154</v>
      </c>
      <c r="AB36" s="41">
        <v>6518</v>
      </c>
    </row>
    <row r="37" spans="18:28" x14ac:dyDescent="0.3">
      <c r="V37" s="47" t="str">
        <v>Columbus</v>
      </c>
      <c r="W37" s="40" t="str">
        <v/>
      </c>
      <c r="X37" s="40" t="str">
        <v/>
      </c>
      <c r="Y37" s="40" t="str">
        <v/>
      </c>
      <c r="Z37" s="40" t="str">
        <v/>
      </c>
      <c r="AA37" s="40" t="str">
        <v/>
      </c>
      <c r="AB37" s="41" t="str">
        <v/>
      </c>
    </row>
    <row r="38" spans="18:28" x14ac:dyDescent="0.3">
      <c r="V38" s="39" t="str">
        <v>C0001</v>
      </c>
      <c r="W38" s="40">
        <v>1655</v>
      </c>
      <c r="X38" s="40">
        <v>805</v>
      </c>
      <c r="Y38" s="40">
        <v>2263</v>
      </c>
      <c r="Z38" s="40">
        <v>987</v>
      </c>
      <c r="AA38" s="40">
        <v>1075</v>
      </c>
      <c r="AB38" s="41">
        <v>6785</v>
      </c>
    </row>
    <row r="39" spans="18:28" x14ac:dyDescent="0.3">
      <c r="R39" s="32"/>
      <c r="S39" s="52" t="str">
        <f>pivots!J60</f>
        <v>% of calls:22%</v>
      </c>
      <c r="T39" s="52"/>
      <c r="V39" s="39" t="str">
        <v>C0005</v>
      </c>
      <c r="W39" s="40">
        <v>1104</v>
      </c>
      <c r="X39" s="40">
        <v>2280</v>
      </c>
      <c r="Y39" s="40">
        <v>1445</v>
      </c>
      <c r="Z39" s="40">
        <v>1722</v>
      </c>
      <c r="AA39" s="40">
        <v>1196</v>
      </c>
      <c r="AB39" s="41">
        <v>7747</v>
      </c>
    </row>
    <row r="40" spans="18:28" x14ac:dyDescent="0.3">
      <c r="S40" s="52" t="str">
        <f>pivots!J61</f>
        <v>Call Rank:1</v>
      </c>
      <c r="T40" s="52"/>
      <c r="V40" s="39" t="str">
        <v>C0006</v>
      </c>
      <c r="W40" s="40">
        <v>372</v>
      </c>
      <c r="X40" s="40">
        <v>1818</v>
      </c>
      <c r="Y40" s="40">
        <v>1346</v>
      </c>
      <c r="Z40" s="40">
        <v>1156</v>
      </c>
      <c r="AA40" s="40">
        <v>1484</v>
      </c>
      <c r="AB40" s="41">
        <v>6176</v>
      </c>
    </row>
    <row r="41" spans="18:28" x14ac:dyDescent="0.3">
      <c r="S41" s="52" t="str">
        <f>pivots!J62</f>
        <v>Amount rank:2</v>
      </c>
      <c r="T41" s="52"/>
      <c r="V41" s="39" t="str">
        <v>C0009</v>
      </c>
      <c r="W41" s="40">
        <v>1415</v>
      </c>
      <c r="X41" s="40">
        <v>1271</v>
      </c>
      <c r="Y41" s="40">
        <v>1214</v>
      </c>
      <c r="Z41" s="40">
        <v>1135</v>
      </c>
      <c r="AA41" s="40">
        <v>1566</v>
      </c>
      <c r="AB41" s="41">
        <v>6601</v>
      </c>
    </row>
    <row r="42" spans="18:28" x14ac:dyDescent="0.3">
      <c r="V42" s="42" t="str">
        <v>C0014</v>
      </c>
      <c r="W42" s="43">
        <v>1362</v>
      </c>
      <c r="X42" s="43">
        <v>1363</v>
      </c>
      <c r="Y42" s="43">
        <v>1152</v>
      </c>
      <c r="Z42" s="43">
        <v>777</v>
      </c>
      <c r="AA42" s="43">
        <v>750</v>
      </c>
      <c r="AB42" s="44">
        <v>5404</v>
      </c>
    </row>
  </sheetData>
  <mergeCells count="4">
    <mergeCell ref="S29:T36"/>
    <mergeCell ref="S39:T39"/>
    <mergeCell ref="S40:T40"/>
    <mergeCell ref="S41:T41"/>
  </mergeCells>
  <conditionalFormatting sqref="W26:AA42">
    <cfRule type="dataBar" priority="3">
      <dataBar>
        <cfvo type="num" val="0"/>
        <cfvo type="formula" val="MAX($W$26:$AA$42)*2"/>
        <color theme="2" tint="-0.749992370372631"/>
      </dataBar>
      <extLst>
        <ext xmlns:x14="http://schemas.microsoft.com/office/spreadsheetml/2009/9/main" uri="{B025F937-C7B1-47D3-B67F-A62EFF666E3E}">
          <x14:id>{6B6D8F56-4E32-4BB2-A519-C88A7F9B4142}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B6D8F56-4E32-4BB2-A519-C88A7F9B4142}">
            <x14:dataBar minLength="0" maxLength="100" gradient="0">
              <x14:cfvo type="num">
                <xm:f>0</xm:f>
              </x14:cfvo>
              <x14:cfvo type="formula">
                <xm:f>MAX($W$26:$AA$42)*2</xm:f>
              </x14:cfvo>
              <x14:negativeFillColor rgb="FFFF0000"/>
              <x14:axisColor rgb="FF000000"/>
            </x14:dataBar>
          </x14:cfRule>
          <xm:sqref>W26:AA42</xm:sqref>
        </x14:conditionalFormatting>
        <x14:conditionalFormatting xmlns:xm="http://schemas.microsoft.com/office/excel/2006/main">
          <x14:cfRule type="expression" priority="4" id="{2B5AC934-9925-48EF-A386-042DAB82B1FD}">
            <xm:f>W$24=pivots!$B$60</xm:f>
            <x14:dxf>
              <fill>
                <patternFill>
                  <bgColor theme="8" tint="0.39994506668294322"/>
                </patternFill>
              </fill>
              <border>
                <left style="thin">
                  <color auto="1"/>
                </left>
                <right style="thin">
                  <color auto="1"/>
                </right>
                <vertical/>
                <horizontal/>
              </border>
            </x14:dxf>
          </x14:cfRule>
          <xm:sqref>W23:AA42</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69" zoomScaleNormal="115" workbookViewId="0">
      <selection activeCell="E15" sqref="E15"/>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3" zoomScale="115" zoomScaleNormal="115" workbookViewId="0">
      <selection activeCell="M7" sqref="M7"/>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call centre report</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ARATHI K MENON</cp:lastModifiedBy>
  <dcterms:created xsi:type="dcterms:W3CDTF">2021-03-14T20:21:32Z</dcterms:created>
  <dcterms:modified xsi:type="dcterms:W3CDTF">2026-02-21T07:08:07Z</dcterms:modified>
</cp:coreProperties>
</file>